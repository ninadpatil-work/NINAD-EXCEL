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tables/table15.xml" ContentType="application/vnd.openxmlformats-officedocument.spreadsheetml.table+xml"/>
  <Override PartName="/xl/tables/table16.xml" ContentType="application/vnd.openxmlformats-officedocument.spreadsheetml.table+xml"/>
  <Override PartName="/xl/drawings/drawing2.xml" ContentType="application/vnd.openxmlformats-officedocument.drawing+xml"/>
  <Override PartName="/xl/tables/table1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Anudip Ninad\Ninad ecxel practice\"/>
    </mc:Choice>
  </mc:AlternateContent>
  <xr:revisionPtr revIDLastSave="0" documentId="13_ncr:1_{6250519E-429B-4889-89BD-837E1286FADC}" xr6:coauthVersionLast="47" xr6:coauthVersionMax="47" xr10:uidLastSave="{00000000-0000-0000-0000-000000000000}"/>
  <bookViews>
    <workbookView xWindow="12" yWindow="12" windowWidth="23016" windowHeight="12216" activeTab="4" xr2:uid="{6E8105CB-7395-4706-98F0-B86DED144783}"/>
  </bookViews>
  <sheets>
    <sheet name="Sheet1" sheetId="1" r:id="rId1"/>
    <sheet name="Sheet2" sheetId="2" r:id="rId2"/>
    <sheet name="Sheet3" sheetId="7" r:id="rId3"/>
    <sheet name="Sheet4" sheetId="4" r:id="rId4"/>
    <sheet name="Sheet5" sheetId="6" r:id="rId5"/>
    <sheet name="Sheet6" sheetId="8" r:id="rId6"/>
    <sheet name="Sheet7" sheetId="9" r:id="rId7"/>
    <sheet name="Sheet8" sheetId="10" r:id="rId8"/>
    <sheet name="Sheet9" sheetId="11" r:id="rId9"/>
    <sheet name="Sheet10" sheetId="21" r:id="rId10"/>
    <sheet name="Sheet11" sheetId="22" r:id="rId11"/>
    <sheet name="Sheet13" sheetId="15" r:id="rId12"/>
    <sheet name="pivot" sheetId="18" r:id="rId13"/>
    <sheet name="Sheet18" sheetId="20" r:id="rId14"/>
    <sheet name="Sheet12" sheetId="23" r:id="rId15"/>
    <sheet name="Sheet14" sheetId="24" r:id="rId16"/>
  </sheets>
  <definedNames>
    <definedName name="_xlnm._FilterDatabase" localSheetId="11" hidden="1">Sheet13!$A$1:$F$1</definedName>
    <definedName name="_xlnm._FilterDatabase" localSheetId="13" hidden="1">Sheet18!$I$2:$I$8</definedName>
    <definedName name="Slicer_Category">#N/A</definedName>
    <definedName name="Slicer_payment_mode">#N/A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7f101046-7225-46c2-ab62-18bf050b4f95" name="category" connection="Excel power pivot parctice 4 tables join"/>
          <x15:modelTable id="feb exp_b4bdf9fa-5d9f-49a8-a65c-2a68de3a36c9" name="feb exp" connection="Excel power pivot parctice 4 tables join"/>
          <x15:modelTable id="jan expenses_2cb4eee6-0125-4abd-9f48-6a6606a3fef9" name="jan expenses" connection="Excel power pivot parctice 4 tables join"/>
          <x15:modelTable id="payment mode_8d9cc9b2-c213-4fbf-abb0-2b136373a492" name="payment mode" connection="Excel power pivot parctice 4 tables join"/>
        </x15:modelTables>
        <x15:modelRelationships>
          <x15:modelRelationship fromTable="feb exp" fromColumn="Category" toTable="category" toColumn="category"/>
          <x15:modelRelationship fromTable="jan expenses" fromColumn="payment mode" toTable="feb exp" toColumn="Date"/>
          <x15:modelRelationship fromTable="jan expenses" fromColumn="payment mode" toTable="payment mode" toColumn="payment m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 i="6" l="1"/>
  <c r="M10" i="6"/>
  <c r="H14" i="8"/>
  <c r="H13" i="8"/>
  <c r="H10" i="8"/>
  <c r="G10" i="6"/>
  <c r="I12" i="6"/>
  <c r="I11" i="6"/>
  <c r="I10" i="6"/>
  <c r="L3" i="6"/>
  <c r="K3" i="6"/>
  <c r="J3" i="6"/>
  <c r="I3" i="6"/>
  <c r="H3" i="6"/>
  <c r="G3" i="6"/>
  <c r="G17" i="22"/>
  <c r="G14" i="22"/>
  <c r="G11" i="22"/>
  <c r="F8" i="22"/>
  <c r="G8" i="22"/>
  <c r="L15" i="20"/>
  <c r="K15" i="20"/>
  <c r="J15" i="20"/>
  <c r="C20" i="20"/>
  <c r="B20" i="20"/>
  <c r="B21" i="20"/>
  <c r="G11" i="20"/>
  <c r="G12" i="20"/>
  <c r="G10" i="20"/>
  <c r="G3" i="20"/>
  <c r="G2" i="20"/>
  <c r="H9" i="8"/>
  <c r="H4" i="8"/>
  <c r="I2" i="6"/>
  <c r="H2" i="6"/>
  <c r="G2" i="6"/>
  <c r="J14" i="2"/>
  <c r="K14" i="2"/>
  <c r="J13" i="2"/>
  <c r="J15" i="2"/>
  <c r="J16" i="2"/>
  <c r="J17" i="2"/>
  <c r="N8" i="2"/>
  <c r="N2" i="2"/>
  <c r="I13" i="2"/>
  <c r="F2" i="2"/>
  <c r="D2" i="2"/>
  <c r="E2" i="2" s="1"/>
  <c r="D3" i="2"/>
  <c r="D4" i="2"/>
  <c r="D5" i="2"/>
  <c r="D6" i="2"/>
  <c r="D7" i="2"/>
  <c r="E7" i="2" s="1"/>
  <c r="F7" i="2" s="1"/>
  <c r="G7" i="2" s="1"/>
  <c r="D8" i="2"/>
  <c r="D9" i="2"/>
  <c r="J16" i="20"/>
  <c r="L16" i="20"/>
  <c r="L17" i="20"/>
  <c r="K16" i="20"/>
  <c r="K17" i="20"/>
  <c r="J17" i="20"/>
  <c r="J18" i="20"/>
  <c r="J19" i="20"/>
  <c r="C13" i="21"/>
  <c r="C14" i="21"/>
  <c r="C12" i="21"/>
  <c r="C9" i="21"/>
  <c r="C8" i="21"/>
  <c r="C6" i="21"/>
  <c r="F17" i="22"/>
  <c r="F14" i="22"/>
  <c r="F11" i="22"/>
  <c r="C14" i="22"/>
  <c r="C12" i="22"/>
  <c r="C10" i="22"/>
  <c r="C8" i="22"/>
  <c r="L19" i="20"/>
  <c r="L18" i="20"/>
  <c r="K19" i="20"/>
  <c r="K18" i="20"/>
  <c r="B14" i="21"/>
  <c r="B13" i="21"/>
  <c r="B12" i="21"/>
  <c r="B9" i="21"/>
  <c r="B8" i="21"/>
  <c r="B6" i="21"/>
  <c r="J9" i="20"/>
  <c r="K2" i="20"/>
  <c r="J4" i="20"/>
  <c r="K4" i="20" s="1"/>
  <c r="J5" i="20"/>
  <c r="K5" i="20" s="1"/>
  <c r="J6" i="20"/>
  <c r="K6" i="20" s="1"/>
  <c r="J7" i="20"/>
  <c r="K7" i="20" s="1"/>
  <c r="J8" i="20"/>
  <c r="K8" i="20" s="1"/>
  <c r="J3" i="20"/>
  <c r="K3" i="20" s="1"/>
  <c r="J2" i="20"/>
  <c r="G8" i="20"/>
  <c r="G4" i="20"/>
  <c r="G5" i="20"/>
  <c r="G6" i="20"/>
  <c r="Q10" i="8"/>
  <c r="Q11" i="8"/>
  <c r="Q9" i="8"/>
  <c r="Q8" i="8"/>
  <c r="L10" i="6"/>
  <c r="K13" i="8"/>
  <c r="N9" i="8"/>
  <c r="N8" i="8"/>
  <c r="N7" i="8"/>
  <c r="K9" i="8"/>
  <c r="K10" i="8"/>
  <c r="K11" i="8"/>
  <c r="K8" i="8"/>
  <c r="K7" i="8"/>
  <c r="J2" i="9"/>
  <c r="G3" i="11"/>
  <c r="E10" i="8"/>
  <c r="F22" i="8"/>
  <c r="G20" i="8"/>
  <c r="E6" i="8"/>
  <c r="E9" i="8"/>
  <c r="E7" i="8"/>
  <c r="E8" i="8"/>
  <c r="E5" i="8"/>
  <c r="E4" i="8"/>
  <c r="E3" i="8"/>
  <c r="E2" i="8"/>
  <c r="H5" i="8"/>
  <c r="L2" i="6"/>
  <c r="K2" i="6"/>
  <c r="J2" i="6"/>
  <c r="L3" i="4"/>
  <c r="L2" i="4"/>
  <c r="K2" i="4"/>
  <c r="K3" i="4"/>
  <c r="J2" i="4"/>
  <c r="J3" i="4"/>
  <c r="I2" i="4"/>
  <c r="I3" i="4"/>
  <c r="F3" i="4"/>
  <c r="B3" i="4"/>
  <c r="G3" i="4" s="1"/>
  <c r="B2" i="4"/>
  <c r="C2" i="4" s="1"/>
  <c r="K13" i="2"/>
  <c r="K15" i="2"/>
  <c r="K16" i="2"/>
  <c r="K17" i="2"/>
  <c r="I14" i="2"/>
  <c r="I15" i="2"/>
  <c r="I16" i="2"/>
  <c r="I17" i="2"/>
  <c r="H13" i="2"/>
  <c r="H14" i="2"/>
  <c r="H15" i="2"/>
  <c r="H16" i="2"/>
  <c r="H17" i="2"/>
  <c r="N3" i="2"/>
  <c r="N4" i="2"/>
  <c r="N5" i="2"/>
  <c r="N6" i="2"/>
  <c r="N7" i="2"/>
  <c r="N9" i="2"/>
  <c r="M2" i="2"/>
  <c r="M3" i="2"/>
  <c r="M4" i="2"/>
  <c r="M5" i="2"/>
  <c r="M6" i="2"/>
  <c r="M7" i="2"/>
  <c r="M8" i="2"/>
  <c r="M9" i="2"/>
  <c r="L2" i="2"/>
  <c r="K3" i="2"/>
  <c r="K4" i="2"/>
  <c r="K2" i="2"/>
  <c r="K5" i="2"/>
  <c r="K6" i="2"/>
  <c r="K7" i="2"/>
  <c r="K8" i="2"/>
  <c r="K9" i="2"/>
  <c r="H2" i="2"/>
  <c r="H3" i="2"/>
  <c r="H4" i="2"/>
  <c r="H5" i="2"/>
  <c r="H6" i="2"/>
  <c r="H7" i="2"/>
  <c r="H8" i="2"/>
  <c r="H9" i="2"/>
  <c r="E4" i="2"/>
  <c r="F4" i="2" s="1"/>
  <c r="G4" i="2" s="1"/>
  <c r="E3" i="2"/>
  <c r="F3" i="2" s="1"/>
  <c r="G3" i="2" s="1"/>
  <c r="E5" i="2"/>
  <c r="F5" i="2" s="1"/>
  <c r="G5" i="2" s="1"/>
  <c r="E6" i="2"/>
  <c r="F6" i="2" s="1"/>
  <c r="G6" i="2" s="1"/>
  <c r="E8" i="2"/>
  <c r="F8" i="2" s="1"/>
  <c r="G8" i="2" s="1"/>
  <c r="E9" i="2"/>
  <c r="F9" i="2" s="1"/>
  <c r="G9" i="2" s="1"/>
  <c r="E37" i="1"/>
  <c r="E36" i="1"/>
  <c r="E35" i="1"/>
  <c r="E34" i="1"/>
  <c r="G2" i="2" l="1"/>
  <c r="H3" i="4"/>
  <c r="H2" i="4"/>
  <c r="G2" i="4"/>
  <c r="D2" i="4"/>
  <c r="E2" i="4"/>
  <c r="J4" i="2"/>
  <c r="I4" i="2"/>
  <c r="I7" i="2"/>
  <c r="J7" i="2"/>
  <c r="I9" i="2"/>
  <c r="J9" i="2"/>
  <c r="I6" i="2"/>
  <c r="J6" i="2"/>
  <c r="J8" i="2"/>
  <c r="I8" i="2"/>
  <c r="I5" i="2"/>
  <c r="J5" i="2"/>
  <c r="J3" i="2"/>
  <c r="I3" i="2"/>
  <c r="I2" i="2"/>
  <c r="J2" i="2"/>
  <c r="F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29C0A1-0299-4B2C-A897-A41174E25398}" name="Excel power pivot parctice 4 tables join" type="100" refreshedVersion="0">
    <extLst>
      <ext xmlns:x15="http://schemas.microsoft.com/office/spreadsheetml/2010/11/main" uri="{DE250136-89BD-433C-8126-D09CA5730AF9}">
        <x15:connection id="c23ca371-57b3-44de-8dc0-bd09d1ea0c63"/>
      </ext>
    </extLst>
  </connection>
  <connection id="2" xr16:uid="{7F0C9095-B48A-4184-8913-1E1F42E513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<sst xmlns="http://schemas.openxmlformats.org/spreadsheetml/2006/main" count="1951" uniqueCount="332">
  <si>
    <t>january month expenses</t>
  </si>
  <si>
    <t>Date</t>
  </si>
  <si>
    <t>Category</t>
  </si>
  <si>
    <t>Sub category</t>
  </si>
  <si>
    <t>Payment mode</t>
  </si>
  <si>
    <t>1st jan 2026</t>
  </si>
  <si>
    <t>Food</t>
  </si>
  <si>
    <t>Zomato</t>
  </si>
  <si>
    <t>Price</t>
  </si>
  <si>
    <t>UPI</t>
  </si>
  <si>
    <t>2nd jan 2026</t>
  </si>
  <si>
    <t>3rd jan 2026</t>
  </si>
  <si>
    <t>4th jan 2026</t>
  </si>
  <si>
    <t>Grocery</t>
  </si>
  <si>
    <t>fruite</t>
  </si>
  <si>
    <t>cash</t>
  </si>
  <si>
    <t>5th jan 2026</t>
  </si>
  <si>
    <t>6th jan 2026</t>
  </si>
  <si>
    <t>7th jan 2026</t>
  </si>
  <si>
    <t>8th jan 2026</t>
  </si>
  <si>
    <t>9th jan 2026</t>
  </si>
  <si>
    <t>10th jan 2026</t>
  </si>
  <si>
    <t>11th jan 2026</t>
  </si>
  <si>
    <t>12th jan 2026</t>
  </si>
  <si>
    <t>13th jan 2026</t>
  </si>
  <si>
    <t>14th jan 2026</t>
  </si>
  <si>
    <t>15th jan 2026</t>
  </si>
  <si>
    <t>16th jan 2026</t>
  </si>
  <si>
    <t>17th jan 2026</t>
  </si>
  <si>
    <t>18th jan 2026</t>
  </si>
  <si>
    <t>19th jan 2026</t>
  </si>
  <si>
    <t>sr</t>
  </si>
  <si>
    <t>20th jan 2026</t>
  </si>
  <si>
    <t>21st jan 2026</t>
  </si>
  <si>
    <t>22nd jan 2026</t>
  </si>
  <si>
    <t>23rd jan 2026</t>
  </si>
  <si>
    <t>24th jan 2026</t>
  </si>
  <si>
    <t>25th jan 2026</t>
  </si>
  <si>
    <t>fail</t>
  </si>
  <si>
    <t>error</t>
  </si>
  <si>
    <t>b</t>
  </si>
  <si>
    <t>add</t>
  </si>
  <si>
    <t>sum</t>
  </si>
  <si>
    <t>mul</t>
  </si>
  <si>
    <t>div</t>
  </si>
  <si>
    <t>Column1</t>
  </si>
  <si>
    <t>Column2</t>
  </si>
  <si>
    <t>Column3</t>
  </si>
  <si>
    <t>Column4</t>
  </si>
  <si>
    <t>to do</t>
  </si>
  <si>
    <t>prefix</t>
  </si>
  <si>
    <t>first naem</t>
  </si>
  <si>
    <t>last name</t>
  </si>
  <si>
    <t xml:space="preserve"> </t>
  </si>
  <si>
    <t>concatenate</t>
  </si>
  <si>
    <t>lower</t>
  </si>
  <si>
    <t>upper</t>
  </si>
  <si>
    <t>proper</t>
  </si>
  <si>
    <t>length</t>
  </si>
  <si>
    <t>first name</t>
  </si>
  <si>
    <t>left</t>
  </si>
  <si>
    <t>right</t>
  </si>
  <si>
    <t>mid</t>
  </si>
  <si>
    <t>Mr.</t>
  </si>
  <si>
    <t>aarti</t>
  </si>
  <si>
    <t>wagh</t>
  </si>
  <si>
    <t>anu</t>
  </si>
  <si>
    <t>patil</t>
  </si>
  <si>
    <t>NINAD</t>
  </si>
  <si>
    <t>PATIL</t>
  </si>
  <si>
    <t>find</t>
  </si>
  <si>
    <t>search</t>
  </si>
  <si>
    <t>replace</t>
  </si>
  <si>
    <t>conditions</t>
  </si>
  <si>
    <t>if</t>
  </si>
  <si>
    <t>full name</t>
  </si>
  <si>
    <t xml:space="preserve">job title </t>
  </si>
  <si>
    <t>dept</t>
  </si>
  <si>
    <t>gender</t>
  </si>
  <si>
    <t xml:space="preserve"> age</t>
  </si>
  <si>
    <t>hire date</t>
  </si>
  <si>
    <t>country</t>
  </si>
  <si>
    <t>And</t>
  </si>
  <si>
    <t>or</t>
  </si>
  <si>
    <t>ninad</t>
  </si>
  <si>
    <t>akash</t>
  </si>
  <si>
    <t>ram</t>
  </si>
  <si>
    <t>sneha</t>
  </si>
  <si>
    <t>sr.manager</t>
  </si>
  <si>
    <t>it</t>
  </si>
  <si>
    <t>male</t>
  </si>
  <si>
    <t>india</t>
  </si>
  <si>
    <t>technical architect</t>
  </si>
  <si>
    <t>director</t>
  </si>
  <si>
    <t>manager</t>
  </si>
  <si>
    <t>analyst</t>
  </si>
  <si>
    <t>finance</t>
  </si>
  <si>
    <t>marketing</t>
  </si>
  <si>
    <t>female</t>
  </si>
  <si>
    <t>us</t>
  </si>
  <si>
    <t>china</t>
  </si>
  <si>
    <t>lanka</t>
  </si>
  <si>
    <t>sale</t>
  </si>
  <si>
    <t>today</t>
  </si>
  <si>
    <t>now</t>
  </si>
  <si>
    <t>day</t>
  </si>
  <si>
    <t>month</t>
  </si>
  <si>
    <t>year</t>
  </si>
  <si>
    <t>date</t>
  </si>
  <si>
    <t>hour</t>
  </si>
  <si>
    <t>mins</t>
  </si>
  <si>
    <t>secs</t>
  </si>
  <si>
    <t>date+3days</t>
  </si>
  <si>
    <t>date+3months</t>
  </si>
  <si>
    <t>date+3years</t>
  </si>
  <si>
    <t>Amount</t>
  </si>
  <si>
    <t>sumif</t>
  </si>
  <si>
    <t>sumsifs</t>
  </si>
  <si>
    <t>count</t>
  </si>
  <si>
    <t>countif</t>
  </si>
  <si>
    <t>countifs</t>
  </si>
  <si>
    <t>date2</t>
  </si>
  <si>
    <t>subcategory</t>
  </si>
  <si>
    <t>zomato</t>
  </si>
  <si>
    <t>amount2</t>
  </si>
  <si>
    <t>payment mode2</t>
  </si>
  <si>
    <t>potoa to</t>
  </si>
  <si>
    <t>gomato</t>
  </si>
  <si>
    <t>somato</t>
  </si>
  <si>
    <t xml:space="preserve">romato </t>
  </si>
  <si>
    <t>swiggy</t>
  </si>
  <si>
    <t>piggy</t>
  </si>
  <si>
    <t>EEID</t>
  </si>
  <si>
    <t>E02388</t>
  </si>
  <si>
    <t>E02389</t>
  </si>
  <si>
    <t>E02390</t>
  </si>
  <si>
    <t>Annual salary</t>
  </si>
  <si>
    <t>emp id</t>
  </si>
  <si>
    <t>salary</t>
  </si>
  <si>
    <t>E02386</t>
  </si>
  <si>
    <t>index+match</t>
  </si>
  <si>
    <t>match</t>
  </si>
  <si>
    <t>swdd</t>
  </si>
  <si>
    <t>wgeg</t>
  </si>
  <si>
    <t>fsff</t>
  </si>
  <si>
    <t>index</t>
  </si>
  <si>
    <t>xlockup</t>
  </si>
  <si>
    <t>bonus</t>
  </si>
  <si>
    <t>range</t>
  </si>
  <si>
    <t>job title</t>
  </si>
  <si>
    <t>look up</t>
  </si>
  <si>
    <t>xlookup</t>
  </si>
  <si>
    <t>nidnadi</t>
  </si>
  <si>
    <t>condition formatting</t>
  </si>
  <si>
    <t>Product</t>
  </si>
  <si>
    <t>Customer</t>
  </si>
  <si>
    <t>Qtr 1</t>
  </si>
  <si>
    <t>Qtr 2</t>
  </si>
  <si>
    <t>Qtr 3</t>
  </si>
  <si>
    <t>Qtr 4</t>
  </si>
  <si>
    <t>Alice Mutton</t>
  </si>
  <si>
    <t>ANTON</t>
  </si>
  <si>
    <t>BERGS</t>
  </si>
  <si>
    <t>BOLID</t>
  </si>
  <si>
    <t>BOTTM</t>
  </si>
  <si>
    <t>ERNSH</t>
  </si>
  <si>
    <t>GODOS</t>
  </si>
  <si>
    <t>HUNGC</t>
  </si>
  <si>
    <t>PICCO</t>
  </si>
  <si>
    <t>RATTC</t>
  </si>
  <si>
    <t>REGGC</t>
  </si>
  <si>
    <t>SAVEA</t>
  </si>
  <si>
    <t>SEVES</t>
  </si>
  <si>
    <t>WHITC</t>
  </si>
  <si>
    <t>Aniseed Syrup</t>
  </si>
  <si>
    <t>ALFKI</t>
  </si>
  <si>
    <t>LINOD</t>
  </si>
  <si>
    <t>QUICK</t>
  </si>
  <si>
    <t>VAFFE</t>
  </si>
  <si>
    <t>Boston Crab Meat</t>
  </si>
  <si>
    <t>BONAP</t>
  </si>
  <si>
    <t>BSBEV</t>
  </si>
  <si>
    <t>FRANS</t>
  </si>
  <si>
    <t>HILAA</t>
  </si>
  <si>
    <t>LAZYK</t>
  </si>
  <si>
    <t>LEHMS</t>
  </si>
  <si>
    <t>MAGAA</t>
  </si>
  <si>
    <t>OTTIK</t>
  </si>
  <si>
    <t>PERIC</t>
  </si>
  <si>
    <t>QUEEN</t>
  </si>
  <si>
    <t>RANCH</t>
  </si>
  <si>
    <t>TRAIH</t>
  </si>
  <si>
    <t>Camembert Pierrot</t>
  </si>
  <si>
    <t>ANATR</t>
  </si>
  <si>
    <t>AROUT</t>
  </si>
  <si>
    <t>CHOPS</t>
  </si>
  <si>
    <t>FAMIA</t>
  </si>
  <si>
    <t>FRANK</t>
  </si>
  <si>
    <t>FURIB</t>
  </si>
  <si>
    <t>GOURL</t>
  </si>
  <si>
    <t>MEREP</t>
  </si>
  <si>
    <t>RICAR</t>
  </si>
  <si>
    <t>RICSU</t>
  </si>
  <si>
    <t>WARTH</t>
  </si>
  <si>
    <t>WOLZA</t>
  </si>
  <si>
    <t>Chef Anton's Cajun Seasoning</t>
  </si>
  <si>
    <t>EASTC</t>
  </si>
  <si>
    <t>FOLKO</t>
  </si>
  <si>
    <t>TRADH</t>
  </si>
  <si>
    <t>Chef Anton's Gumbo Mix</t>
  </si>
  <si>
    <t>THEBI</t>
  </si>
  <si>
    <t>Filo Mix</t>
  </si>
  <si>
    <t>BLONP</t>
  </si>
  <si>
    <t>DUMON</t>
  </si>
  <si>
    <t>LAUGB</t>
  </si>
  <si>
    <t>NORTS</t>
  </si>
  <si>
    <t>OLDWO</t>
  </si>
  <si>
    <t>TOMSP</t>
  </si>
  <si>
    <t>VINET</t>
  </si>
  <si>
    <t>Gorgonzola Telino</t>
  </si>
  <si>
    <t>CACTU</t>
  </si>
  <si>
    <t>HANAR</t>
  </si>
  <si>
    <t>HUNGO</t>
  </si>
  <si>
    <t>SUPRD</t>
  </si>
  <si>
    <t>TORTU</t>
  </si>
  <si>
    <t>WANDK</t>
  </si>
  <si>
    <t>Grandma's Boysenberry Spread</t>
  </si>
  <si>
    <t>Ipoh Coffee</t>
  </si>
  <si>
    <t>KOENE</t>
  </si>
  <si>
    <t>MAISD</t>
  </si>
  <si>
    <t>WELLI</t>
  </si>
  <si>
    <t>WILMK</t>
  </si>
  <si>
    <t>Jack's New England Clam Chowder</t>
  </si>
  <si>
    <t>Laughing Lumberjack Lager</t>
  </si>
  <si>
    <t>LONEP</t>
  </si>
  <si>
    <t>THECR</t>
  </si>
  <si>
    <t>Longlife Tofu</t>
  </si>
  <si>
    <t>VICTE</t>
  </si>
  <si>
    <t>Louisiana Fiery Hot Pepper Sauce</t>
  </si>
  <si>
    <t>FRANR</t>
  </si>
  <si>
    <t>LAMAI</t>
  </si>
  <si>
    <t>Louisiana Hot Spiced Okra</t>
  </si>
  <si>
    <t>Mozzarella di Giovanni</t>
  </si>
  <si>
    <t>CONSH</t>
  </si>
  <si>
    <t>GREAL</t>
  </si>
  <si>
    <t>ISLAT</t>
  </si>
  <si>
    <t>MORGK</t>
  </si>
  <si>
    <t>SIMOB</t>
  </si>
  <si>
    <t>Northwoods Cranberry Sauce</t>
  </si>
  <si>
    <t>Ravioli Angelo</t>
  </si>
  <si>
    <t>BLAUS</t>
  </si>
  <si>
    <t>Sasquatch Ale</t>
  </si>
  <si>
    <t>Sir Rodney's Marmalade</t>
  </si>
  <si>
    <t>Sir Rodney's Scones</t>
  </si>
  <si>
    <t>FOLIG</t>
  </si>
  <si>
    <t>LILAS</t>
  </si>
  <si>
    <t>OCEAN</t>
  </si>
  <si>
    <t>PRINI</t>
  </si>
  <si>
    <t>Steeleye Stout</t>
  </si>
  <si>
    <t>QUEDE</t>
  </si>
  <si>
    <t>Teatime Chocolate Biscuits</t>
  </si>
  <si>
    <t>Uncle Bob's Organic Dried Pears</t>
  </si>
  <si>
    <t>Veggie-spread</t>
  </si>
  <si>
    <t>Row Labels</t>
  </si>
  <si>
    <t>Grand Total</t>
  </si>
  <si>
    <t>Sum of Amount</t>
  </si>
  <si>
    <t>card</t>
  </si>
  <si>
    <t>upi</t>
  </si>
  <si>
    <t>qtr 4</t>
  </si>
  <si>
    <t>vlookup</t>
  </si>
  <si>
    <t>v</t>
  </si>
  <si>
    <t>x</t>
  </si>
  <si>
    <t>h</t>
  </si>
  <si>
    <t>Row Number</t>
  </si>
  <si>
    <t>Column A</t>
  </si>
  <si>
    <t>Column B</t>
  </si>
  <si>
    <t>Column C</t>
  </si>
  <si>
    <t>Column D</t>
  </si>
  <si>
    <t>Column E</t>
  </si>
  <si>
    <t>Row 1</t>
  </si>
  <si>
    <t>Month</t>
  </si>
  <si>
    <t>Jan</t>
  </si>
  <si>
    <t>Feb</t>
  </si>
  <si>
    <t>Mar</t>
  </si>
  <si>
    <t>Apr</t>
  </si>
  <si>
    <t>Row 2</t>
  </si>
  <si>
    <t>Sales</t>
  </si>
  <si>
    <t>hlookup</t>
  </si>
  <si>
    <t>rs</t>
  </si>
  <si>
    <t>Price (₹)</t>
  </si>
  <si>
    <t>Product ID</t>
  </si>
  <si>
    <t>Item Name</t>
  </si>
  <si>
    <t>P101</t>
  </si>
  <si>
    <t>Laptop</t>
  </si>
  <si>
    <t>Electronics</t>
  </si>
  <si>
    <t>P102</t>
  </si>
  <si>
    <t>Smartphone</t>
  </si>
  <si>
    <t>P103</t>
  </si>
  <si>
    <t>Office Chair</t>
  </si>
  <si>
    <t>Furniture</t>
  </si>
  <si>
    <t>P104</t>
  </si>
  <si>
    <t>Coffee Mug</t>
  </si>
  <si>
    <t>Kitchen</t>
  </si>
  <si>
    <t>P105</t>
  </si>
  <si>
    <t>Notebook</t>
  </si>
  <si>
    <t>Stationery</t>
  </si>
  <si>
    <t>P106</t>
  </si>
  <si>
    <t>Headphones</t>
  </si>
  <si>
    <t>P107</t>
  </si>
  <si>
    <t>Dining Table</t>
  </si>
  <si>
    <t>P999</t>
  </si>
  <si>
    <t>p102</t>
  </si>
  <si>
    <t>p104</t>
  </si>
  <si>
    <t>h+match</t>
  </si>
  <si>
    <t>p106</t>
  </si>
  <si>
    <t>Row</t>
  </si>
  <si>
    <t>Col A</t>
  </si>
  <si>
    <t>Col B</t>
  </si>
  <si>
    <t>Col C</t>
  </si>
  <si>
    <t>Col D</t>
  </si>
  <si>
    <t>Col E</t>
  </si>
  <si>
    <t>Col F</t>
  </si>
  <si>
    <t>how many pro &lt;5000?</t>
  </si>
  <si>
    <t>&gt;24000</t>
  </si>
  <si>
    <t>&gt;8000</t>
  </si>
  <si>
    <t>how many item are less than &lt;=1000</t>
  </si>
  <si>
    <t>&gt;5000</t>
  </si>
  <si>
    <t>laptop count</t>
  </si>
  <si>
    <t>How many item names start with the letter "S"?</t>
  </si>
  <si>
    <t>Count the number of items where the price is NOT equal to 450</t>
  </si>
  <si>
    <t>kela</t>
  </si>
  <si>
    <t>root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</si>
</sst>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4009]\ * #,##0.00_ ;_ [$₹-4009]\ * \-#,##0.00_ ;_ [$₹-4009]\ * &quot;-&quot;??_ ;_ @_ "/>
    <numFmt numFmtId="165" formatCode="[$-14009]dd/mm/yyyy;@"/>
    <numFmt numFmtId="166" formatCode="_-[$$-409]* #,##0.00_ ;_-[$$-409]* \-#,##0.00\ ;_-[$$-409]* &quot;-&quot;??_ ;_-@_ "/>
    <numFmt numFmtId="167" formatCode="_([$$-409]* #,##0.00_);_([$$-409]* \(#,##0.00\);_([$$-409]* &quot;-&quot;??_);_(@_)"/>
    <numFmt numFmtId="168" formatCode="0.000"/>
  </numFmts>
  <fonts count="14" x14ac:knownFonts="1">
    <font>
      <sz val="11"/>
      <color theme="1"/>
      <name val="Calibri"/>
      <family val="2"/>
      <scheme val="minor"/>
    </font>
    <font>
      <sz val="22"/>
      <color theme="1"/>
      <name val="Times New Roman"/>
      <family val="1"/>
    </font>
    <font>
      <b/>
      <sz val="12"/>
      <color theme="1"/>
      <name val="Calibri"/>
      <family val="2"/>
      <scheme val="minor"/>
    </font>
    <font>
      <sz val="8"/>
      <name val="Calibri"/>
      <family val="2"/>
      <scheme val="minor"/>
    </font>
    <font>
      <u/>
      <sz val="11"/>
      <color theme="1"/>
      <name val="Calibri"/>
      <family val="2"/>
      <scheme val="minor"/>
    </font>
    <font>
      <b/>
      <sz val="11"/>
      <color theme="0"/>
      <name val="Calibri"/>
      <family val="2"/>
      <scheme val="minor"/>
    </font>
    <font>
      <sz val="11"/>
      <color theme="0"/>
      <name val="Calibri"/>
      <scheme val="minor"/>
    </font>
    <font>
      <b/>
      <sz val="12"/>
      <color theme="0"/>
      <name val="Calibri"/>
      <family val="2"/>
      <scheme val="minor"/>
    </font>
    <font>
      <sz val="11"/>
      <color theme="0"/>
      <name val="Calibri"/>
      <family val="2"/>
      <scheme val="minor"/>
    </font>
    <font>
      <sz val="11"/>
      <color rgb="FF000000"/>
      <name val="Calibri"/>
      <family val="2"/>
    </font>
    <font>
      <b/>
      <sz val="8"/>
      <color theme="1"/>
      <name val="Arial"/>
      <family val="2"/>
    </font>
    <font>
      <sz val="8"/>
      <color theme="1"/>
      <name val="Arial"/>
      <family val="2"/>
    </font>
    <font>
      <sz val="10"/>
      <color theme="1"/>
      <name val="Arial"/>
      <family val="2"/>
    </font>
    <font>
      <sz val="11"/>
      <color rgb="FF1F1F1F"/>
      <name val="Arial"/>
      <family val="2"/>
    </font>
  </fonts>
  <fills count="14">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499984740745262"/>
        <bgColor theme="5" tint="-0.249977111117893"/>
      </patternFill>
    </fill>
    <fill>
      <patternFill patternType="solid">
        <fgColor theme="1"/>
        <bgColor theme="1"/>
      </patternFill>
    </fill>
    <fill>
      <patternFill patternType="solid">
        <fgColor theme="0" tint="-0.14999847407452621"/>
        <bgColor theme="0" tint="-0.14999847407452621"/>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bottom style="thin">
        <color theme="5" tint="0.59999389629810485"/>
      </bottom>
      <diagonal/>
    </border>
    <border>
      <left/>
      <right/>
      <top style="thin">
        <color theme="1"/>
      </top>
      <bottom style="thin">
        <color theme="1"/>
      </bottom>
      <diagonal/>
    </border>
    <border>
      <left/>
      <right/>
      <top/>
      <bottom style="thin">
        <color theme="1"/>
      </bottom>
      <diagonal/>
    </border>
    <border>
      <left/>
      <right/>
      <top style="thin">
        <color theme="1"/>
      </top>
      <bottom/>
      <diagonal/>
    </border>
    <border>
      <left/>
      <right/>
      <top/>
      <bottom style="medium">
        <color rgb="FF363840"/>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s>
  <cellStyleXfs count="1">
    <xf numFmtId="0" fontId="0" fillId="0" borderId="0"/>
  </cellStyleXfs>
  <cellXfs count="73">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14" fontId="0" fillId="0" borderId="0" xfId="0" applyNumberForma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xf numFmtId="16" fontId="0" fillId="0" borderId="0" xfId="0" applyNumberFormat="1"/>
    <xf numFmtId="22" fontId="0" fillId="0" borderId="0" xfId="0" applyNumberFormat="1"/>
    <xf numFmtId="0" fontId="0" fillId="0" borderId="1" xfId="0" applyBorder="1"/>
    <xf numFmtId="0" fontId="0" fillId="7" borderId="1" xfId="0" applyFill="1" applyBorder="1"/>
    <xf numFmtId="0" fontId="5" fillId="6" borderId="1" xfId="0" applyFont="1" applyFill="1" applyBorder="1"/>
    <xf numFmtId="0" fontId="5" fillId="6" borderId="2" xfId="0" applyFont="1" applyFill="1" applyBorder="1"/>
    <xf numFmtId="0" fontId="0" fillId="7" borderId="2" xfId="0" applyFill="1" applyBorder="1"/>
    <xf numFmtId="0" fontId="0" fillId="0" borderId="2" xfId="0" applyBorder="1"/>
    <xf numFmtId="14" fontId="4" fillId="0" borderId="0" xfId="0" applyNumberFormat="1" applyFont="1"/>
    <xf numFmtId="166" fontId="0" fillId="0" borderId="0" xfId="0" applyNumberFormat="1"/>
    <xf numFmtId="0" fontId="0" fillId="7" borderId="1" xfId="0" applyFill="1" applyBorder="1" applyAlignment="1">
      <alignment horizontal="center"/>
    </xf>
    <xf numFmtId="166" fontId="0" fillId="7" borderId="3" xfId="0" applyNumberFormat="1" applyFill="1" applyBorder="1"/>
    <xf numFmtId="9" fontId="0" fillId="0" borderId="0" xfId="0" applyNumberFormat="1" applyAlignment="1">
      <alignment horizontal="center"/>
    </xf>
    <xf numFmtId="2" fontId="4" fillId="0" borderId="0" xfId="0" applyNumberFormat="1" applyFont="1"/>
    <xf numFmtId="0" fontId="0" fillId="7" borderId="4" xfId="0" applyFill="1" applyBorder="1"/>
    <xf numFmtId="0" fontId="0" fillId="7" borderId="5" xfId="0" applyFill="1" applyBorder="1"/>
    <xf numFmtId="0" fontId="6" fillId="8" borderId="6" xfId="0" applyFont="1" applyFill="1" applyBorder="1" applyAlignment="1">
      <alignment wrapText="1"/>
    </xf>
    <xf numFmtId="0" fontId="0" fillId="0" borderId="0" xfId="0" applyAlignment="1">
      <alignment wrapText="1"/>
    </xf>
    <xf numFmtId="167" fontId="0" fillId="0" borderId="0" xfId="0" applyNumberFormat="1"/>
    <xf numFmtId="0" fontId="4" fillId="0" borderId="0" xfId="0" applyFont="1"/>
    <xf numFmtId="0" fontId="0" fillId="10" borderId="7" xfId="0" applyFill="1" applyBorder="1" applyAlignment="1">
      <alignment horizontal="center"/>
    </xf>
    <xf numFmtId="0" fontId="0" fillId="0" borderId="7" xfId="0" applyBorder="1" applyAlignment="1">
      <alignment horizontal="center"/>
    </xf>
    <xf numFmtId="14" fontId="0" fillId="10" borderId="7" xfId="0" applyNumberFormat="1" applyFill="1" applyBorder="1" applyAlignment="1">
      <alignment horizontal="center"/>
    </xf>
    <xf numFmtId="14" fontId="0" fillId="0" borderId="7" xfId="0" applyNumberFormat="1" applyBorder="1" applyAlignment="1">
      <alignment horizontal="center"/>
    </xf>
    <xf numFmtId="0" fontId="7" fillId="9" borderId="8" xfId="0" applyFont="1" applyFill="1" applyBorder="1" applyAlignment="1">
      <alignment horizontal="center"/>
    </xf>
    <xf numFmtId="14" fontId="0" fillId="10" borderId="9" xfId="0" applyNumberFormat="1" applyFill="1" applyBorder="1" applyAlignment="1">
      <alignment horizontal="center"/>
    </xf>
    <xf numFmtId="0" fontId="0" fillId="10" borderId="9" xfId="0" applyFill="1" applyBorder="1" applyAlignment="1">
      <alignment horizontal="center"/>
    </xf>
    <xf numFmtId="0" fontId="0" fillId="0" borderId="0" xfId="0" pivotButton="1"/>
    <xf numFmtId="0" fontId="0" fillId="0" borderId="0" xfId="0" applyAlignment="1">
      <alignment horizontal="left"/>
    </xf>
    <xf numFmtId="166" fontId="0" fillId="7" borderId="2" xfId="0" applyNumberFormat="1" applyFill="1" applyBorder="1"/>
    <xf numFmtId="168" fontId="0" fillId="0" borderId="0" xfId="0" applyNumberFormat="1"/>
    <xf numFmtId="14" fontId="4" fillId="0" borderId="0" xfId="0" applyNumberFormat="1" applyFont="1" applyAlignment="1">
      <alignment horizontal="center"/>
    </xf>
    <xf numFmtId="0" fontId="0" fillId="0" borderId="2" xfId="0" applyBorder="1" applyAlignment="1">
      <alignment horizontal="center"/>
    </xf>
    <xf numFmtId="0" fontId="0" fillId="7" borderId="2" xfId="0" applyFill="1" applyBorder="1" applyAlignment="1">
      <alignment horizontal="center"/>
    </xf>
    <xf numFmtId="0" fontId="10" fillId="0" borderId="10" xfId="0" applyFont="1" applyBorder="1" applyAlignment="1">
      <alignment horizontal="center" vertical="center" wrapText="1"/>
    </xf>
    <xf numFmtId="0" fontId="10" fillId="0" borderId="10" xfId="0" applyFont="1" applyBorder="1" applyAlignment="1">
      <alignment vertical="center" wrapText="1"/>
    </xf>
    <xf numFmtId="0" fontId="11" fillId="0" borderId="10" xfId="0" applyFont="1" applyBorder="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0" fillId="11" borderId="0" xfId="0" applyFill="1" applyAlignment="1">
      <alignment horizontal="center"/>
    </xf>
    <xf numFmtId="0" fontId="0" fillId="11" borderId="1" xfId="0" applyFill="1" applyBorder="1" applyAlignment="1">
      <alignment horizontal="center"/>
    </xf>
    <xf numFmtId="0" fontId="0" fillId="12" borderId="0" xfId="0" applyFill="1"/>
    <xf numFmtId="0" fontId="12" fillId="11" borderId="0" xfId="0" applyFont="1" applyFill="1" applyAlignment="1">
      <alignment horizontal="center"/>
    </xf>
    <xf numFmtId="0" fontId="0" fillId="11" borderId="2" xfId="0" applyFill="1" applyBorder="1" applyAlignment="1">
      <alignment horizontal="center"/>
    </xf>
    <xf numFmtId="0" fontId="0" fillId="12" borderId="0" xfId="0" applyFill="1" applyAlignment="1">
      <alignment horizontal="center"/>
    </xf>
    <xf numFmtId="0" fontId="13" fillId="0" borderId="11" xfId="0" applyFont="1" applyBorder="1" applyAlignment="1">
      <alignment horizontal="left" vertical="center" wrapText="1" indent="1" readingOrder="1"/>
    </xf>
    <xf numFmtId="0" fontId="13" fillId="0" borderId="12" xfId="0" applyFont="1" applyBorder="1" applyAlignment="1">
      <alignment horizontal="left" vertical="center" wrapText="1" indent="1" readingOrder="1"/>
    </xf>
    <xf numFmtId="0" fontId="13" fillId="0" borderId="13" xfId="0" applyFont="1" applyBorder="1" applyAlignment="1">
      <alignment horizontal="left" vertical="center" wrapText="1" indent="1" readingOrder="1"/>
    </xf>
    <xf numFmtId="0" fontId="13" fillId="0" borderId="14" xfId="0" applyFont="1" applyBorder="1" applyAlignment="1">
      <alignment horizontal="left" vertical="center" wrapText="1" indent="1" readingOrder="1"/>
    </xf>
    <xf numFmtId="0" fontId="13" fillId="0" borderId="15" xfId="0" applyFont="1" applyBorder="1" applyAlignment="1">
      <alignment horizontal="left" vertical="center" wrapText="1" indent="1" readingOrder="1"/>
    </xf>
    <xf numFmtId="0" fontId="13" fillId="0" borderId="16" xfId="0" applyFont="1" applyBorder="1" applyAlignment="1">
      <alignment horizontal="left" vertical="center" wrapText="1" indent="1" readingOrder="1"/>
    </xf>
    <xf numFmtId="0" fontId="13" fillId="0" borderId="17" xfId="0" applyFont="1" applyBorder="1" applyAlignment="1">
      <alignment horizontal="left" vertical="center" wrapText="1" indent="1" readingOrder="1"/>
    </xf>
    <xf numFmtId="0" fontId="13" fillId="0" borderId="18" xfId="0" applyFont="1" applyBorder="1" applyAlignment="1">
      <alignment horizontal="left" vertical="center" wrapText="1" indent="1" readingOrder="1"/>
    </xf>
    <xf numFmtId="0" fontId="13" fillId="0" borderId="19" xfId="0" applyFont="1" applyBorder="1" applyAlignment="1">
      <alignment horizontal="left" vertical="center" wrapText="1" indent="1" readingOrder="1"/>
    </xf>
    <xf numFmtId="0" fontId="0" fillId="13" borderId="0" xfId="0" applyFill="1"/>
    <xf numFmtId="0" fontId="8" fillId="0" borderId="6" xfId="0" applyFont="1" applyBorder="1"/>
    <xf numFmtId="0" fontId="1" fillId="2" borderId="0" xfId="0" applyFont="1" applyFill="1" applyAlignment="1">
      <alignment horizontal="center"/>
    </xf>
    <xf numFmtId="0" fontId="0" fillId="0" borderId="0" xfId="0" applyAlignment="1">
      <alignment horizontal="center"/>
    </xf>
    <xf numFmtId="0" fontId="0" fillId="0" borderId="2" xfId="0" applyFill="1" applyBorder="1" applyAlignment="1">
      <alignment horizontal="center"/>
    </xf>
    <xf numFmtId="0" fontId="0" fillId="0" borderId="0" xfId="0" applyFill="1" applyAlignment="1">
      <alignment horizontal="center"/>
    </xf>
  </cellXfs>
  <cellStyles count="1">
    <cellStyle name="Normal" xfId="0" builtinId="0"/>
  </cellStyles>
  <dxfs count="1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00_);_([$$-409]* \(#,##0.00\);_([$$-409]* &quot;-&quot;??_);_(@_)"/>
      <fill>
        <patternFill patternType="none">
          <fgColor indexed="64"/>
          <bgColor auto="1"/>
        </patternFill>
      </fill>
      <alignment horizontal="general" vertical="bottom" textRotation="0" wrapText="0" indent="0" justifyLastLine="0" shrinkToFit="0" readingOrder="0"/>
    </dxf>
    <dxf>
      <numFmt numFmtId="167" formatCode="_([$$-409]* #,##0.00_);_([$$-409]* \(#,##0.00\);_([$$-409]* &quot;-&quot;??_);_(@_)"/>
      <fill>
        <patternFill patternType="none">
          <fgColor indexed="64"/>
          <bgColor auto="1"/>
        </patternFill>
      </fill>
      <alignment horizontal="general" vertical="bottom" textRotation="0" wrapText="0" indent="0" justifyLastLine="0" shrinkToFit="0" readingOrder="0"/>
    </dxf>
    <dxf>
      <numFmt numFmtId="167" formatCode="_([$$-409]* #,##0.00_);_([$$-409]* \(#,##0.00\);_([$$-409]* &quot;-&quot;??_);_(@_)"/>
      <fill>
        <patternFill patternType="none">
          <fgColor indexed="64"/>
          <bgColor auto="1"/>
        </patternFill>
      </fill>
      <alignment horizontal="general" vertical="bottom" textRotation="0" wrapText="0" indent="0" justifyLastLine="0" shrinkToFit="0" readingOrder="0"/>
    </dxf>
    <dxf>
      <numFmt numFmtId="167" formatCode="_([$$-409]* #,##0.00_);_([$$-409]* \(#,##0.00\);_([$$-409]* &quot;-&quot;??_);_(@_)"/>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border outline="0">
        <bottom style="thin">
          <color theme="5" tint="0.59999389629810485"/>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C4C7C5"/>
        </right>
        <top style="medium">
          <color rgb="FFC4C7C5"/>
        </top>
        <bottom style="medium">
          <color rgb="FFC4C7C5"/>
        </bottom>
        <vertical/>
        <horizontal/>
      </border>
    </dxf>
    <dxf>
      <border outline="0">
        <top style="medium">
          <color rgb="FFC4C7C5"/>
        </top>
      </border>
    </dxf>
    <dxf>
      <border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border outline="0">
        <bottom style="medium">
          <color rgb="FFC4C7C5"/>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C4C7C5"/>
        </left>
        <right style="medium">
          <color rgb="FFC4C7C5"/>
        </right>
        <top/>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bottom style="thin">
          <color theme="5" tint="0.59999389629810485"/>
        </bottom>
      </border>
    </dxf>
    <dxf>
      <font>
        <b val="0"/>
        <i val="0"/>
        <strike val="0"/>
        <condense val="0"/>
        <extend val="0"/>
        <outline val="0"/>
        <shadow val="0"/>
        <u val="none"/>
        <vertAlign val="baseline"/>
        <sz val="11"/>
        <color theme="0"/>
        <name val="Calibri"/>
        <scheme val="minor"/>
      </font>
      <fill>
        <patternFill patternType="solid">
          <fgColor theme="5" tint="-0.249977111117893"/>
          <bgColor theme="9" tint="-0.499984740745262"/>
        </patternFill>
      </fill>
      <alignment horizontal="general" vertical="bottom" textRotation="0" wrapText="1"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6" formatCode="_-[$$-409]* #,##0.00_ ;_-[$$-409]* \-#,##0.00\ ;_-[$$-409]* &quot;-&quot;??_ ;_-@_ "/>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u/>
      </font>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27" formatCode="dd/mm/yyyy\ hh:mm"/>
    </dxf>
    <dxf>
      <numFmt numFmtId="27" formatCode="dd/mm/yyyy\ hh:mm"/>
    </dxf>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9" formatCode="[$-F800]dddd\,\ mmmm\ dd\,\ 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rgb="FFFFE699"/>
          <bgColor rgb="FF000000"/>
        </patternFill>
      </fill>
    </dxf>
    <dxf>
      <fill>
        <patternFill patternType="solid">
          <fgColor rgb="FFF8CBAD"/>
          <bgColor rgb="FF000000"/>
        </patternFill>
      </fill>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Sheet13!$A$2:$B$278</c:f>
              <c:multiLvlStrCache>
                <c:ptCount val="277"/>
                <c:lvl>
                  <c:pt idx="0">
                    <c:v>ANTON</c:v>
                  </c:pt>
                  <c:pt idx="1">
                    <c:v>BERGS</c:v>
                  </c:pt>
                  <c:pt idx="2">
                    <c:v>BOLID</c:v>
                  </c:pt>
                  <c:pt idx="3">
                    <c:v>BOTTM</c:v>
                  </c:pt>
                  <c:pt idx="4">
                    <c:v>ERNSH</c:v>
                  </c:pt>
                  <c:pt idx="5">
                    <c:v>GODOS</c:v>
                  </c:pt>
                  <c:pt idx="6">
                    <c:v>HUNGC</c:v>
                  </c:pt>
                  <c:pt idx="7">
                    <c:v>PICCO</c:v>
                  </c:pt>
                  <c:pt idx="8">
                    <c:v>RATTC</c:v>
                  </c:pt>
                  <c:pt idx="9">
                    <c:v>REGGC</c:v>
                  </c:pt>
                  <c:pt idx="10">
                    <c:v>SAVEA</c:v>
                  </c:pt>
                  <c:pt idx="11">
                    <c:v>SEVES</c:v>
                  </c:pt>
                  <c:pt idx="12">
                    <c:v>WHITC</c:v>
                  </c:pt>
                  <c:pt idx="13">
                    <c:v>ALFKI</c:v>
                  </c:pt>
                  <c:pt idx="14">
                    <c:v>BOTTM</c:v>
                  </c:pt>
                  <c:pt idx="15">
                    <c:v>ERNSH</c:v>
                  </c:pt>
                  <c:pt idx="16">
                    <c:v>LINOD</c:v>
                  </c:pt>
                  <c:pt idx="17">
                    <c:v>QUICK</c:v>
                  </c:pt>
                  <c:pt idx="18">
                    <c:v>VAFFE</c:v>
                  </c:pt>
                  <c:pt idx="19">
                    <c:v>ANTON</c:v>
                  </c:pt>
                  <c:pt idx="20">
                    <c:v>BERGS</c:v>
                  </c:pt>
                  <c:pt idx="21">
                    <c:v>BONAP</c:v>
                  </c:pt>
                  <c:pt idx="22">
                    <c:v>BOTTM</c:v>
                  </c:pt>
                  <c:pt idx="23">
                    <c:v>BSBEV</c:v>
                  </c:pt>
                  <c:pt idx="24">
                    <c:v>FRANS</c:v>
                  </c:pt>
                  <c:pt idx="25">
                    <c:v>HILAA</c:v>
                  </c:pt>
                  <c:pt idx="26">
                    <c:v>LAZYK</c:v>
                  </c:pt>
                  <c:pt idx="27">
                    <c:v>LEHMS</c:v>
                  </c:pt>
                  <c:pt idx="28">
                    <c:v>MAGAA</c:v>
                  </c:pt>
                  <c:pt idx="29">
                    <c:v>OTTIK</c:v>
                  </c:pt>
                  <c:pt idx="30">
                    <c:v>PERIC</c:v>
                  </c:pt>
                  <c:pt idx="31">
                    <c:v>QUEEN</c:v>
                  </c:pt>
                  <c:pt idx="32">
                    <c:v>QUICK</c:v>
                  </c:pt>
                  <c:pt idx="33">
                    <c:v>RANCH</c:v>
                  </c:pt>
                  <c:pt idx="34">
                    <c:v>SAVEA</c:v>
                  </c:pt>
                  <c:pt idx="35">
                    <c:v>TRAIH</c:v>
                  </c:pt>
                  <c:pt idx="36">
                    <c:v>VAFFE</c:v>
                  </c:pt>
                  <c:pt idx="37">
                    <c:v>ANATR</c:v>
                  </c:pt>
                  <c:pt idx="38">
                    <c:v>AROUT</c:v>
                  </c:pt>
                  <c:pt idx="39">
                    <c:v>BERGS</c:v>
                  </c:pt>
                  <c:pt idx="40">
                    <c:v>BOTTM</c:v>
                  </c:pt>
                  <c:pt idx="41">
                    <c:v>CHOPS</c:v>
                  </c:pt>
                  <c:pt idx="42">
                    <c:v>FAMIA</c:v>
                  </c:pt>
                  <c:pt idx="43">
                    <c:v>FRANK</c:v>
                  </c:pt>
                  <c:pt idx="44">
                    <c:v>FURIB</c:v>
                  </c:pt>
                  <c:pt idx="45">
                    <c:v>GOURL</c:v>
                  </c:pt>
                  <c:pt idx="46">
                    <c:v>LEHMS</c:v>
                  </c:pt>
                  <c:pt idx="47">
                    <c:v>MEREP</c:v>
                  </c:pt>
                  <c:pt idx="48">
                    <c:v>OTTIK</c:v>
                  </c:pt>
                  <c:pt idx="49">
                    <c:v>QUEEN</c:v>
                  </c:pt>
                  <c:pt idx="50">
                    <c:v>QUICK</c:v>
                  </c:pt>
                  <c:pt idx="51">
                    <c:v>RICAR</c:v>
                  </c:pt>
                  <c:pt idx="52">
                    <c:v>RICSU</c:v>
                  </c:pt>
                  <c:pt idx="53">
                    <c:v>SAVEA</c:v>
                  </c:pt>
                  <c:pt idx="54">
                    <c:v>WARTH</c:v>
                  </c:pt>
                  <c:pt idx="55">
                    <c:v>WOLZA</c:v>
                  </c:pt>
                  <c:pt idx="56">
                    <c:v>BERGS</c:v>
                  </c:pt>
                  <c:pt idx="57">
                    <c:v>BONAP</c:v>
                  </c:pt>
                  <c:pt idx="58">
                    <c:v>EASTC</c:v>
                  </c:pt>
                  <c:pt idx="59">
                    <c:v>FOLKO</c:v>
                  </c:pt>
                  <c:pt idx="60">
                    <c:v>FURIB</c:v>
                  </c:pt>
                  <c:pt idx="61">
                    <c:v>MAGAA</c:v>
                  </c:pt>
                  <c:pt idx="62">
                    <c:v>QUEEN</c:v>
                  </c:pt>
                  <c:pt idx="63">
                    <c:v>QUICK</c:v>
                  </c:pt>
                  <c:pt idx="64">
                    <c:v>TRADH</c:v>
                  </c:pt>
                  <c:pt idx="65">
                    <c:v>WARTH</c:v>
                  </c:pt>
                  <c:pt idx="66">
                    <c:v>MAGAA</c:v>
                  </c:pt>
                  <c:pt idx="67">
                    <c:v>THEBI</c:v>
                  </c:pt>
                  <c:pt idx="68">
                    <c:v>AROUT</c:v>
                  </c:pt>
                  <c:pt idx="69">
                    <c:v>BERGS</c:v>
                  </c:pt>
                  <c:pt idx="70">
                    <c:v>BLONP</c:v>
                  </c:pt>
                  <c:pt idx="71">
                    <c:v>DUMON</c:v>
                  </c:pt>
                  <c:pt idx="72">
                    <c:v>FAMIA</c:v>
                  </c:pt>
                  <c:pt idx="73">
                    <c:v>LAUGB</c:v>
                  </c:pt>
                  <c:pt idx="74">
                    <c:v>NORTS</c:v>
                  </c:pt>
                  <c:pt idx="75">
                    <c:v>OLDWO</c:v>
                  </c:pt>
                  <c:pt idx="76">
                    <c:v>REGGC</c:v>
                  </c:pt>
                  <c:pt idx="77">
                    <c:v>RICAR</c:v>
                  </c:pt>
                  <c:pt idx="78">
                    <c:v>RICSU</c:v>
                  </c:pt>
                  <c:pt idx="79">
                    <c:v>TOMSP</c:v>
                  </c:pt>
                  <c:pt idx="80">
                    <c:v>VAFFE</c:v>
                  </c:pt>
                  <c:pt idx="81">
                    <c:v>VINET</c:v>
                  </c:pt>
                  <c:pt idx="82">
                    <c:v>AROUT</c:v>
                  </c:pt>
                  <c:pt idx="83">
                    <c:v>BLONP</c:v>
                  </c:pt>
                  <c:pt idx="84">
                    <c:v>BONAP</c:v>
                  </c:pt>
                  <c:pt idx="85">
                    <c:v>CACTU</c:v>
                  </c:pt>
                  <c:pt idx="86">
                    <c:v>ERNSH</c:v>
                  </c:pt>
                  <c:pt idx="87">
                    <c:v>FOLKO</c:v>
                  </c:pt>
                  <c:pt idx="88">
                    <c:v>GOURL</c:v>
                  </c:pt>
                  <c:pt idx="89">
                    <c:v>HANAR</c:v>
                  </c:pt>
                  <c:pt idx="90">
                    <c:v>HILAA</c:v>
                  </c:pt>
                  <c:pt idx="91">
                    <c:v>HUNGO</c:v>
                  </c:pt>
                  <c:pt idx="92">
                    <c:v>LEHMS</c:v>
                  </c:pt>
                  <c:pt idx="93">
                    <c:v>OLDWO</c:v>
                  </c:pt>
                  <c:pt idx="94">
                    <c:v>PICCO</c:v>
                  </c:pt>
                  <c:pt idx="95">
                    <c:v>QUEEN</c:v>
                  </c:pt>
                  <c:pt idx="96">
                    <c:v>QUICK</c:v>
                  </c:pt>
                  <c:pt idx="97">
                    <c:v>RATTC</c:v>
                  </c:pt>
                  <c:pt idx="98">
                    <c:v>RICSU</c:v>
                  </c:pt>
                  <c:pt idx="99">
                    <c:v>SAVEA</c:v>
                  </c:pt>
                  <c:pt idx="100">
                    <c:v>SUPRD</c:v>
                  </c:pt>
                  <c:pt idx="101">
                    <c:v>TOMSP</c:v>
                  </c:pt>
                  <c:pt idx="102">
                    <c:v>TORTU</c:v>
                  </c:pt>
                  <c:pt idx="103">
                    <c:v>TRADH</c:v>
                  </c:pt>
                  <c:pt idx="104">
                    <c:v>WANDK</c:v>
                  </c:pt>
                  <c:pt idx="105">
                    <c:v>WARTH</c:v>
                  </c:pt>
                  <c:pt idx="106">
                    <c:v>GOURL</c:v>
                  </c:pt>
                  <c:pt idx="107">
                    <c:v>MEREP</c:v>
                  </c:pt>
                  <c:pt idx="108">
                    <c:v>ANTON</c:v>
                  </c:pt>
                  <c:pt idx="109">
                    <c:v>BERGS</c:v>
                  </c:pt>
                  <c:pt idx="110">
                    <c:v>FURIB</c:v>
                  </c:pt>
                  <c:pt idx="111">
                    <c:v>KOENE</c:v>
                  </c:pt>
                  <c:pt idx="112">
                    <c:v>MAISD</c:v>
                  </c:pt>
                  <c:pt idx="113">
                    <c:v>OLDWO</c:v>
                  </c:pt>
                  <c:pt idx="114">
                    <c:v>PICCO</c:v>
                  </c:pt>
                  <c:pt idx="115">
                    <c:v>QUICK</c:v>
                  </c:pt>
                  <c:pt idx="116">
                    <c:v>SUPRD</c:v>
                  </c:pt>
                  <c:pt idx="117">
                    <c:v>WELLI</c:v>
                  </c:pt>
                  <c:pt idx="118">
                    <c:v>WILMK</c:v>
                  </c:pt>
                  <c:pt idx="119">
                    <c:v>AROUT</c:v>
                  </c:pt>
                  <c:pt idx="120">
                    <c:v>BERGS</c:v>
                  </c:pt>
                  <c:pt idx="121">
                    <c:v>BLONP</c:v>
                  </c:pt>
                  <c:pt idx="122">
                    <c:v>BOTTM</c:v>
                  </c:pt>
                  <c:pt idx="123">
                    <c:v>CACTU</c:v>
                  </c:pt>
                  <c:pt idx="124">
                    <c:v>FAMIA</c:v>
                  </c:pt>
                  <c:pt idx="125">
                    <c:v>FRANK</c:v>
                  </c:pt>
                  <c:pt idx="126">
                    <c:v>GOURL</c:v>
                  </c:pt>
                  <c:pt idx="127">
                    <c:v>HUNGO</c:v>
                  </c:pt>
                  <c:pt idx="128">
                    <c:v>LAUGB</c:v>
                  </c:pt>
                  <c:pt idx="129">
                    <c:v>OTTIK</c:v>
                  </c:pt>
                  <c:pt idx="130">
                    <c:v>PICCO</c:v>
                  </c:pt>
                  <c:pt idx="131">
                    <c:v>REGGC</c:v>
                  </c:pt>
                  <c:pt idx="132">
                    <c:v>SAVEA</c:v>
                  </c:pt>
                  <c:pt idx="133">
                    <c:v>SEVES</c:v>
                  </c:pt>
                  <c:pt idx="134">
                    <c:v>TOMSP</c:v>
                  </c:pt>
                  <c:pt idx="135">
                    <c:v>VAFFE</c:v>
                  </c:pt>
                  <c:pt idx="136">
                    <c:v>VINET</c:v>
                  </c:pt>
                  <c:pt idx="137">
                    <c:v>FRANK</c:v>
                  </c:pt>
                  <c:pt idx="138">
                    <c:v>LONEP</c:v>
                  </c:pt>
                  <c:pt idx="139">
                    <c:v>PERIC</c:v>
                  </c:pt>
                  <c:pt idx="140">
                    <c:v>THECR</c:v>
                  </c:pt>
                  <c:pt idx="141">
                    <c:v>FRANS</c:v>
                  </c:pt>
                  <c:pt idx="142">
                    <c:v>HILAA</c:v>
                  </c:pt>
                  <c:pt idx="143">
                    <c:v>MEREP</c:v>
                  </c:pt>
                  <c:pt idx="144">
                    <c:v>QUICK</c:v>
                  </c:pt>
                  <c:pt idx="145">
                    <c:v>VICTE</c:v>
                  </c:pt>
                  <c:pt idx="146">
                    <c:v>WARTH</c:v>
                  </c:pt>
                  <c:pt idx="147">
                    <c:v>BONAP</c:v>
                  </c:pt>
                  <c:pt idx="148">
                    <c:v>ERNSH</c:v>
                  </c:pt>
                  <c:pt idx="149">
                    <c:v>FRANR</c:v>
                  </c:pt>
                  <c:pt idx="150">
                    <c:v>FURIB</c:v>
                  </c:pt>
                  <c:pt idx="151">
                    <c:v>HANAR</c:v>
                  </c:pt>
                  <c:pt idx="152">
                    <c:v>HUNGO</c:v>
                  </c:pt>
                  <c:pt idx="153">
                    <c:v>LAMAI</c:v>
                  </c:pt>
                  <c:pt idx="154">
                    <c:v>LINOD</c:v>
                  </c:pt>
                  <c:pt idx="155">
                    <c:v>OTTIK</c:v>
                  </c:pt>
                  <c:pt idx="156">
                    <c:v>PICCO</c:v>
                  </c:pt>
                  <c:pt idx="157">
                    <c:v>QUICK</c:v>
                  </c:pt>
                  <c:pt idx="158">
                    <c:v>RATTC</c:v>
                  </c:pt>
                  <c:pt idx="159">
                    <c:v>RICAR</c:v>
                  </c:pt>
                  <c:pt idx="160">
                    <c:v>RICSU</c:v>
                  </c:pt>
                  <c:pt idx="161">
                    <c:v>VICTE</c:v>
                  </c:pt>
                  <c:pt idx="162">
                    <c:v>ANTON</c:v>
                  </c:pt>
                  <c:pt idx="163">
                    <c:v>EASTC</c:v>
                  </c:pt>
                  <c:pt idx="164">
                    <c:v>ERNSH</c:v>
                  </c:pt>
                  <c:pt idx="165">
                    <c:v>FOLKO</c:v>
                  </c:pt>
                  <c:pt idx="166">
                    <c:v>LAMAI</c:v>
                  </c:pt>
                  <c:pt idx="167">
                    <c:v>SUPRD</c:v>
                  </c:pt>
                  <c:pt idx="168">
                    <c:v>BOTTM</c:v>
                  </c:pt>
                  <c:pt idx="169">
                    <c:v>BSBEV</c:v>
                  </c:pt>
                  <c:pt idx="170">
                    <c:v>CONSH</c:v>
                  </c:pt>
                  <c:pt idx="171">
                    <c:v>FOLKO</c:v>
                  </c:pt>
                  <c:pt idx="172">
                    <c:v>GREAL</c:v>
                  </c:pt>
                  <c:pt idx="173">
                    <c:v>ISLAT</c:v>
                  </c:pt>
                  <c:pt idx="174">
                    <c:v>LEHMS</c:v>
                  </c:pt>
                  <c:pt idx="175">
                    <c:v>LINOD</c:v>
                  </c:pt>
                  <c:pt idx="176">
                    <c:v>MAGAA</c:v>
                  </c:pt>
                  <c:pt idx="177">
                    <c:v>MAISD</c:v>
                  </c:pt>
                  <c:pt idx="178">
                    <c:v>MORGK</c:v>
                  </c:pt>
                  <c:pt idx="179">
                    <c:v>QUICK</c:v>
                  </c:pt>
                  <c:pt idx="180">
                    <c:v>RICSU</c:v>
                  </c:pt>
                  <c:pt idx="181">
                    <c:v>SAVEA</c:v>
                  </c:pt>
                  <c:pt idx="182">
                    <c:v>SIMOB</c:v>
                  </c:pt>
                  <c:pt idx="183">
                    <c:v>VICTE</c:v>
                  </c:pt>
                  <c:pt idx="184">
                    <c:v>BONAP</c:v>
                  </c:pt>
                  <c:pt idx="185">
                    <c:v>GOURL</c:v>
                  </c:pt>
                  <c:pt idx="186">
                    <c:v>LEHMS</c:v>
                  </c:pt>
                  <c:pt idx="187">
                    <c:v>QUEEN</c:v>
                  </c:pt>
                  <c:pt idx="188">
                    <c:v>WILMK</c:v>
                  </c:pt>
                  <c:pt idx="189">
                    <c:v>ANTON</c:v>
                  </c:pt>
                  <c:pt idx="190">
                    <c:v>AROUT</c:v>
                  </c:pt>
                  <c:pt idx="191">
                    <c:v>BLAUS</c:v>
                  </c:pt>
                  <c:pt idx="192">
                    <c:v>BONAP</c:v>
                  </c:pt>
                  <c:pt idx="193">
                    <c:v>BSBEV</c:v>
                  </c:pt>
                  <c:pt idx="194">
                    <c:v>PICCO</c:v>
                  </c:pt>
                  <c:pt idx="195">
                    <c:v>TOMSP</c:v>
                  </c:pt>
                  <c:pt idx="196">
                    <c:v>WARTH</c:v>
                  </c:pt>
                  <c:pt idx="197">
                    <c:v>ANTON</c:v>
                  </c:pt>
                  <c:pt idx="198">
                    <c:v>SAVEA</c:v>
                  </c:pt>
                  <c:pt idx="199">
                    <c:v>THEBI</c:v>
                  </c:pt>
                  <c:pt idx="200">
                    <c:v>TOMSP</c:v>
                  </c:pt>
                  <c:pt idx="201">
                    <c:v>VAFFE</c:v>
                  </c:pt>
                  <c:pt idx="202">
                    <c:v>WHITC</c:v>
                  </c:pt>
                  <c:pt idx="203">
                    <c:v>ERNSH</c:v>
                  </c:pt>
                  <c:pt idx="204">
                    <c:v>HUNGC</c:v>
                  </c:pt>
                  <c:pt idx="205">
                    <c:v>LEHMS</c:v>
                  </c:pt>
                  <c:pt idx="206">
                    <c:v>SEVES</c:v>
                  </c:pt>
                  <c:pt idx="207">
                    <c:v>BLAUS</c:v>
                  </c:pt>
                  <c:pt idx="208">
                    <c:v>BSBEV</c:v>
                  </c:pt>
                  <c:pt idx="209">
                    <c:v>CHOPS</c:v>
                  </c:pt>
                  <c:pt idx="210">
                    <c:v>DUMON</c:v>
                  </c:pt>
                  <c:pt idx="211">
                    <c:v>ERNSH</c:v>
                  </c:pt>
                  <c:pt idx="212">
                    <c:v>FOLIG</c:v>
                  </c:pt>
                  <c:pt idx="213">
                    <c:v>FRANK</c:v>
                  </c:pt>
                  <c:pt idx="214">
                    <c:v>GODOS</c:v>
                  </c:pt>
                  <c:pt idx="215">
                    <c:v>GREAL</c:v>
                  </c:pt>
                  <c:pt idx="216">
                    <c:v>KOENE</c:v>
                  </c:pt>
                  <c:pt idx="217">
                    <c:v>LILAS</c:v>
                  </c:pt>
                  <c:pt idx="218">
                    <c:v>LINOD</c:v>
                  </c:pt>
                  <c:pt idx="219">
                    <c:v>MEREP</c:v>
                  </c:pt>
                  <c:pt idx="220">
                    <c:v>OCEAN</c:v>
                  </c:pt>
                  <c:pt idx="221">
                    <c:v>PRINI</c:v>
                  </c:pt>
                  <c:pt idx="222">
                    <c:v>QUEEN</c:v>
                  </c:pt>
                  <c:pt idx="223">
                    <c:v>QUICK</c:v>
                  </c:pt>
                  <c:pt idx="224">
                    <c:v>RANCH</c:v>
                  </c:pt>
                  <c:pt idx="225">
                    <c:v>SIMOB</c:v>
                  </c:pt>
                  <c:pt idx="226">
                    <c:v>WANDK</c:v>
                  </c:pt>
                  <c:pt idx="227">
                    <c:v>WHITC</c:v>
                  </c:pt>
                  <c:pt idx="228">
                    <c:v>BERGS</c:v>
                  </c:pt>
                  <c:pt idx="229">
                    <c:v>BSBEV</c:v>
                  </c:pt>
                  <c:pt idx="230">
                    <c:v>CACTU</c:v>
                  </c:pt>
                  <c:pt idx="231">
                    <c:v>EASTC</c:v>
                  </c:pt>
                  <c:pt idx="232">
                    <c:v>ERNSH</c:v>
                  </c:pt>
                  <c:pt idx="233">
                    <c:v>FOLIG</c:v>
                  </c:pt>
                  <c:pt idx="234">
                    <c:v>FRANK</c:v>
                  </c:pt>
                  <c:pt idx="235">
                    <c:v>FURIB</c:v>
                  </c:pt>
                  <c:pt idx="236">
                    <c:v>GREAL</c:v>
                  </c:pt>
                  <c:pt idx="237">
                    <c:v>LINOD</c:v>
                  </c:pt>
                  <c:pt idx="238">
                    <c:v>MEREP</c:v>
                  </c:pt>
                  <c:pt idx="239">
                    <c:v>QUEDE</c:v>
                  </c:pt>
                  <c:pt idx="240">
                    <c:v>VICTE</c:v>
                  </c:pt>
                  <c:pt idx="241">
                    <c:v>WARTH</c:v>
                  </c:pt>
                  <c:pt idx="242">
                    <c:v>WHITC</c:v>
                  </c:pt>
                  <c:pt idx="243">
                    <c:v>FAMIA</c:v>
                  </c:pt>
                  <c:pt idx="244">
                    <c:v>FRANK</c:v>
                  </c:pt>
                  <c:pt idx="245">
                    <c:v>FRANS</c:v>
                  </c:pt>
                  <c:pt idx="246">
                    <c:v>GODOS</c:v>
                  </c:pt>
                  <c:pt idx="247">
                    <c:v>GREAL</c:v>
                  </c:pt>
                  <c:pt idx="248">
                    <c:v>ISLAT</c:v>
                  </c:pt>
                  <c:pt idx="249">
                    <c:v>LINOD</c:v>
                  </c:pt>
                  <c:pt idx="250">
                    <c:v>QUEDE</c:v>
                  </c:pt>
                  <c:pt idx="251">
                    <c:v>QUEEN</c:v>
                  </c:pt>
                  <c:pt idx="252">
                    <c:v>QUICK</c:v>
                  </c:pt>
                  <c:pt idx="253">
                    <c:v>RICAR</c:v>
                  </c:pt>
                  <c:pt idx="254">
                    <c:v>SAVEA</c:v>
                  </c:pt>
                  <c:pt idx="255">
                    <c:v>SUPRD</c:v>
                  </c:pt>
                  <c:pt idx="256">
                    <c:v>TOMSP</c:v>
                  </c:pt>
                  <c:pt idx="257">
                    <c:v>TORTU</c:v>
                  </c:pt>
                  <c:pt idx="258">
                    <c:v>WANDK</c:v>
                  </c:pt>
                  <c:pt idx="259">
                    <c:v>WARTH</c:v>
                  </c:pt>
                  <c:pt idx="260">
                    <c:v>WELLI</c:v>
                  </c:pt>
                  <c:pt idx="261">
                    <c:v>BONAP</c:v>
                  </c:pt>
                  <c:pt idx="262">
                    <c:v>BSBEV</c:v>
                  </c:pt>
                  <c:pt idx="263">
                    <c:v>FOLIG</c:v>
                  </c:pt>
                  <c:pt idx="264">
                    <c:v>GOURL</c:v>
                  </c:pt>
                  <c:pt idx="265">
                    <c:v>OTTIK</c:v>
                  </c:pt>
                  <c:pt idx="266">
                    <c:v>QUICK</c:v>
                  </c:pt>
                  <c:pt idx="267">
                    <c:v>SAVEA</c:v>
                  </c:pt>
                  <c:pt idx="268">
                    <c:v>VAFFE</c:v>
                  </c:pt>
                  <c:pt idx="269">
                    <c:v>VICTE</c:v>
                  </c:pt>
                  <c:pt idx="270">
                    <c:v>ALFKI</c:v>
                  </c:pt>
                  <c:pt idx="271">
                    <c:v>ERNSH</c:v>
                  </c:pt>
                  <c:pt idx="272">
                    <c:v>FOLIG</c:v>
                  </c:pt>
                  <c:pt idx="273">
                    <c:v>HUNGO</c:v>
                  </c:pt>
                  <c:pt idx="274">
                    <c:v>MORGK</c:v>
                  </c:pt>
                  <c:pt idx="275">
                    <c:v>PICCO</c:v>
                  </c:pt>
                  <c:pt idx="276">
                    <c:v>WHITC</c:v>
                  </c:pt>
                </c:lvl>
                <c:lvl>
                  <c:pt idx="0">
                    <c:v>Alice Mutton</c:v>
                  </c:pt>
                  <c:pt idx="1">
                    <c:v>Alice Mutton</c:v>
                  </c:pt>
                  <c:pt idx="2">
                    <c:v>Alice Mutton</c:v>
                  </c:pt>
                  <c:pt idx="3">
                    <c:v>Alice Mutton</c:v>
                  </c:pt>
                  <c:pt idx="4">
                    <c:v>Alice Mutton</c:v>
                  </c:pt>
                  <c:pt idx="5">
                    <c:v>Alice Mutton</c:v>
                  </c:pt>
                  <c:pt idx="6">
                    <c:v>Alice Mutton</c:v>
                  </c:pt>
                  <c:pt idx="7">
                    <c:v>Alice Mutton</c:v>
                  </c:pt>
                  <c:pt idx="8">
                    <c:v>Alice Mutton</c:v>
                  </c:pt>
                  <c:pt idx="9">
                    <c:v>Alice Mutton</c:v>
                  </c:pt>
                  <c:pt idx="10">
                    <c:v>Alice Mutton</c:v>
                  </c:pt>
                  <c:pt idx="11">
                    <c:v>Alice Mutton</c:v>
                  </c:pt>
                  <c:pt idx="12">
                    <c:v>Alice Mutton</c:v>
                  </c:pt>
                  <c:pt idx="13">
                    <c:v>Aniseed Syrup</c:v>
                  </c:pt>
                  <c:pt idx="14">
                    <c:v>Aniseed Syrup</c:v>
                  </c:pt>
                  <c:pt idx="15">
                    <c:v>Aniseed Syrup</c:v>
                  </c:pt>
                  <c:pt idx="16">
                    <c:v>Aniseed Syrup</c:v>
                  </c:pt>
                  <c:pt idx="17">
                    <c:v>Aniseed Syrup</c:v>
                  </c:pt>
                  <c:pt idx="18">
                    <c:v>Aniseed Syrup</c:v>
                  </c:pt>
                  <c:pt idx="19">
                    <c:v>Boston Crab Meat</c:v>
                  </c:pt>
                  <c:pt idx="20">
                    <c:v>Boston Crab Meat</c:v>
                  </c:pt>
                  <c:pt idx="21">
                    <c:v>Boston Crab Meat</c:v>
                  </c:pt>
                  <c:pt idx="22">
                    <c:v>Boston Crab Meat</c:v>
                  </c:pt>
                  <c:pt idx="23">
                    <c:v>Boston Crab Meat</c:v>
                  </c:pt>
                  <c:pt idx="24">
                    <c:v>Boston Crab Meat</c:v>
                  </c:pt>
                  <c:pt idx="25">
                    <c:v>Boston Crab Meat</c:v>
                  </c:pt>
                  <c:pt idx="26">
                    <c:v>Boston Crab Meat</c:v>
                  </c:pt>
                  <c:pt idx="27">
                    <c:v>Boston Crab Meat</c:v>
                  </c:pt>
                  <c:pt idx="28">
                    <c:v>Boston Crab Meat</c:v>
                  </c:pt>
                  <c:pt idx="29">
                    <c:v>Boston Crab Meat</c:v>
                  </c:pt>
                  <c:pt idx="30">
                    <c:v>Boston Crab Meat</c:v>
                  </c:pt>
                  <c:pt idx="31">
                    <c:v>Boston Crab Meat</c:v>
                  </c:pt>
                  <c:pt idx="32">
                    <c:v>Boston Crab Meat</c:v>
                  </c:pt>
                  <c:pt idx="33">
                    <c:v>Boston Crab Meat</c:v>
                  </c:pt>
                  <c:pt idx="34">
                    <c:v>Boston Crab Meat</c:v>
                  </c:pt>
                  <c:pt idx="35">
                    <c:v>Boston Crab Meat</c:v>
                  </c:pt>
                  <c:pt idx="36">
                    <c:v>Boston Crab Meat</c:v>
                  </c:pt>
                  <c:pt idx="37">
                    <c:v>Camembert Pierrot</c:v>
                  </c:pt>
                  <c:pt idx="38">
                    <c:v>Camembert Pierrot</c:v>
                  </c:pt>
                  <c:pt idx="39">
                    <c:v>Camembert Pierrot</c:v>
                  </c:pt>
                  <c:pt idx="40">
                    <c:v>Camembert Pierrot</c:v>
                  </c:pt>
                  <c:pt idx="41">
                    <c:v>Camembert Pierrot</c:v>
                  </c:pt>
                  <c:pt idx="42">
                    <c:v>Camembert Pierrot</c:v>
                  </c:pt>
                  <c:pt idx="43">
                    <c:v>Camembert Pierrot</c:v>
                  </c:pt>
                  <c:pt idx="44">
                    <c:v>Camembert Pierrot</c:v>
                  </c:pt>
                  <c:pt idx="45">
                    <c:v>Camembert Pierrot</c:v>
                  </c:pt>
                  <c:pt idx="46">
                    <c:v>Camembert Pierrot</c:v>
                  </c:pt>
                  <c:pt idx="47">
                    <c:v>Camembert Pierrot</c:v>
                  </c:pt>
                  <c:pt idx="48">
                    <c:v>Camembert Pierrot</c:v>
                  </c:pt>
                  <c:pt idx="49">
                    <c:v>Camembert Pierrot</c:v>
                  </c:pt>
                  <c:pt idx="50">
                    <c:v>Camembert Pierrot</c:v>
                  </c:pt>
                  <c:pt idx="51">
                    <c:v>Camembert Pierrot</c:v>
                  </c:pt>
                  <c:pt idx="52">
                    <c:v>Camembert Pierrot</c:v>
                  </c:pt>
                  <c:pt idx="53">
                    <c:v>Camembert Pierrot</c:v>
                  </c:pt>
                  <c:pt idx="54">
                    <c:v>Camembert Pierrot</c:v>
                  </c:pt>
                  <c:pt idx="55">
                    <c:v>Camembert Pierrot</c:v>
                  </c:pt>
                  <c:pt idx="56">
                    <c:v>Chef Anton's Cajun Seasoning</c:v>
                  </c:pt>
                  <c:pt idx="57">
                    <c:v>Chef Anton's Cajun Seasoning</c:v>
                  </c:pt>
                  <c:pt idx="58">
                    <c:v>Chef Anton's Cajun Seasoning</c:v>
                  </c:pt>
                  <c:pt idx="59">
                    <c:v>Chef Anton's Cajun Seasoning</c:v>
                  </c:pt>
                  <c:pt idx="60">
                    <c:v>Chef Anton's Cajun Seasoning</c:v>
                  </c:pt>
                  <c:pt idx="61">
                    <c:v>Chef Anton's Cajun Seasoning</c:v>
                  </c:pt>
                  <c:pt idx="62">
                    <c:v>Chef Anton's Cajun Seasoning</c:v>
                  </c:pt>
                  <c:pt idx="63">
                    <c:v>Chef Anton's Cajun Seasoning</c:v>
                  </c:pt>
                  <c:pt idx="64">
                    <c:v>Chef Anton's Cajun Seasoning</c:v>
                  </c:pt>
                  <c:pt idx="65">
                    <c:v>Chef Anton's Cajun Seasoning</c:v>
                  </c:pt>
                  <c:pt idx="66">
                    <c:v>Chef Anton's Gumbo Mix</c:v>
                  </c:pt>
                  <c:pt idx="67">
                    <c:v>Chef Anton's Gumbo Mix</c:v>
                  </c:pt>
                  <c:pt idx="68">
                    <c:v>Filo Mix</c:v>
                  </c:pt>
                  <c:pt idx="69">
                    <c:v>Filo Mix</c:v>
                  </c:pt>
                  <c:pt idx="70">
                    <c:v>Filo Mix</c:v>
                  </c:pt>
                  <c:pt idx="71">
                    <c:v>Filo Mix</c:v>
                  </c:pt>
                  <c:pt idx="72">
                    <c:v>Filo Mix</c:v>
                  </c:pt>
                  <c:pt idx="73">
                    <c:v>Filo Mix</c:v>
                  </c:pt>
                  <c:pt idx="74">
                    <c:v>Filo Mix</c:v>
                  </c:pt>
                  <c:pt idx="75">
                    <c:v>Filo Mix</c:v>
                  </c:pt>
                  <c:pt idx="76">
                    <c:v>Filo Mix</c:v>
                  </c:pt>
                  <c:pt idx="77">
                    <c:v>Filo Mix</c:v>
                  </c:pt>
                  <c:pt idx="78">
                    <c:v>Filo Mix</c:v>
                  </c:pt>
                  <c:pt idx="79">
                    <c:v>Filo Mix</c:v>
                  </c:pt>
                  <c:pt idx="80">
                    <c:v>Filo Mix</c:v>
                  </c:pt>
                  <c:pt idx="81">
                    <c:v>Filo Mix</c:v>
                  </c:pt>
                  <c:pt idx="82">
                    <c:v>Gorgonzola Telino</c:v>
                  </c:pt>
                  <c:pt idx="83">
                    <c:v>Gorgonzola Telino</c:v>
                  </c:pt>
                  <c:pt idx="84">
                    <c:v>Gorgonzola Telino</c:v>
                  </c:pt>
                  <c:pt idx="85">
                    <c:v>Gorgonzola Telino</c:v>
                  </c:pt>
                  <c:pt idx="86">
                    <c:v>Gorgonzola Telino</c:v>
                  </c:pt>
                  <c:pt idx="87">
                    <c:v>Gorgonzola Telino</c:v>
                  </c:pt>
                  <c:pt idx="88">
                    <c:v>Gorgonzola Telino</c:v>
                  </c:pt>
                  <c:pt idx="89">
                    <c:v>Gorgonzola Telino</c:v>
                  </c:pt>
                  <c:pt idx="90">
                    <c:v>Gorgonzola Telino</c:v>
                  </c:pt>
                  <c:pt idx="91">
                    <c:v>Gorgonzola Telino</c:v>
                  </c:pt>
                  <c:pt idx="92">
                    <c:v>Gorgonzola Telino</c:v>
                  </c:pt>
                  <c:pt idx="93">
                    <c:v>Gorgonzola Telino</c:v>
                  </c:pt>
                  <c:pt idx="94">
                    <c:v>Gorgonzola Telino</c:v>
                  </c:pt>
                  <c:pt idx="95">
                    <c:v>Gorgonzola Telino</c:v>
                  </c:pt>
                  <c:pt idx="96">
                    <c:v>Gorgonzola Telino</c:v>
                  </c:pt>
                  <c:pt idx="97">
                    <c:v>Gorgonzola Telino</c:v>
                  </c:pt>
                  <c:pt idx="98">
                    <c:v>Gorgonzola Telino</c:v>
                  </c:pt>
                  <c:pt idx="99">
                    <c:v>Gorgonzola Telino</c:v>
                  </c:pt>
                  <c:pt idx="100">
                    <c:v>Gorgonzola Telino</c:v>
                  </c:pt>
                  <c:pt idx="101">
                    <c:v>Gorgonzola Telino</c:v>
                  </c:pt>
                  <c:pt idx="102">
                    <c:v>Gorgonzola Telino</c:v>
                  </c:pt>
                  <c:pt idx="103">
                    <c:v>Gorgonzola Telino</c:v>
                  </c:pt>
                  <c:pt idx="104">
                    <c:v>Gorgonzola Telino</c:v>
                  </c:pt>
                  <c:pt idx="105">
                    <c:v>Gorgonzola Telino</c:v>
                  </c:pt>
                  <c:pt idx="106">
                    <c:v>Grandma's Boysenberry Spread</c:v>
                  </c:pt>
                  <c:pt idx="107">
                    <c:v>Grandma's Boysenberry Spread</c:v>
                  </c:pt>
                  <c:pt idx="108">
                    <c:v>Ipoh Coffee</c:v>
                  </c:pt>
                  <c:pt idx="109">
                    <c:v>Ipoh Coffee</c:v>
                  </c:pt>
                  <c:pt idx="110">
                    <c:v>Ipoh Coffee</c:v>
                  </c:pt>
                  <c:pt idx="111">
                    <c:v>Ipoh Coffee</c:v>
                  </c:pt>
                  <c:pt idx="112">
                    <c:v>Ipoh Coffee</c:v>
                  </c:pt>
                  <c:pt idx="113">
                    <c:v>Ipoh Coffee</c:v>
                  </c:pt>
                  <c:pt idx="114">
                    <c:v>Ipoh Coffee</c:v>
                  </c:pt>
                  <c:pt idx="115">
                    <c:v>Ipoh Coffee</c:v>
                  </c:pt>
                  <c:pt idx="116">
                    <c:v>Ipoh Coffee</c:v>
                  </c:pt>
                  <c:pt idx="117">
                    <c:v>Ipoh Coffee</c:v>
                  </c:pt>
                  <c:pt idx="118">
                    <c:v>Ipoh Coffee</c:v>
                  </c:pt>
                  <c:pt idx="119">
                    <c:v>Jack's New England Clam Chowder</c:v>
                  </c:pt>
                  <c:pt idx="120">
                    <c:v>Jack's New England Clam Chowder</c:v>
                  </c:pt>
                  <c:pt idx="121">
                    <c:v>Jack's New England Clam Chowder</c:v>
                  </c:pt>
                  <c:pt idx="122">
                    <c:v>Jack's New England Clam Chowder</c:v>
                  </c:pt>
                  <c:pt idx="123">
                    <c:v>Jack's New England Clam Chowder</c:v>
                  </c:pt>
                  <c:pt idx="124">
                    <c:v>Jack's New England Clam Chowder</c:v>
                  </c:pt>
                  <c:pt idx="125">
                    <c:v>Jack's New England Clam Chowder</c:v>
                  </c:pt>
                  <c:pt idx="126">
                    <c:v>Jack's New England Clam Chowder</c:v>
                  </c:pt>
                  <c:pt idx="127">
                    <c:v>Jack's New England Clam Chowder</c:v>
                  </c:pt>
                  <c:pt idx="128">
                    <c:v>Jack's New England Clam Chowder</c:v>
                  </c:pt>
                  <c:pt idx="129">
                    <c:v>Jack's New England Clam Chowder</c:v>
                  </c:pt>
                  <c:pt idx="130">
                    <c:v>Jack's New England Clam Chowder</c:v>
                  </c:pt>
                  <c:pt idx="131">
                    <c:v>Jack's New England Clam Chowder</c:v>
                  </c:pt>
                  <c:pt idx="132">
                    <c:v>Jack's New England Clam Chowder</c:v>
                  </c:pt>
                  <c:pt idx="133">
                    <c:v>Jack's New England Clam Chowder</c:v>
                  </c:pt>
                  <c:pt idx="134">
                    <c:v>Jack's New England Clam Chowder</c:v>
                  </c:pt>
                  <c:pt idx="135">
                    <c:v>Jack's New England Clam Chowder</c:v>
                  </c:pt>
                  <c:pt idx="136">
                    <c:v>Jack's New England Clam Chowder</c:v>
                  </c:pt>
                  <c:pt idx="137">
                    <c:v>Laughing Lumberjack Lager</c:v>
                  </c:pt>
                  <c:pt idx="138">
                    <c:v>Laughing Lumberjack Lager</c:v>
                  </c:pt>
                  <c:pt idx="139">
                    <c:v>Laughing Lumberjack Lager</c:v>
                  </c:pt>
                  <c:pt idx="140">
                    <c:v>Laughing Lumberjack Lager</c:v>
                  </c:pt>
                  <c:pt idx="141">
                    <c:v>Longlife Tofu</c:v>
                  </c:pt>
                  <c:pt idx="142">
                    <c:v>Longlife Tofu</c:v>
                  </c:pt>
                  <c:pt idx="143">
                    <c:v>Longlife Tofu</c:v>
                  </c:pt>
                  <c:pt idx="144">
                    <c:v>Longlife Tofu</c:v>
                  </c:pt>
                  <c:pt idx="145">
                    <c:v>Longlife Tofu</c:v>
                  </c:pt>
                  <c:pt idx="146">
                    <c:v>Longlife Tofu</c:v>
                  </c:pt>
                  <c:pt idx="147">
                    <c:v>Louisiana Fiery Hot Pepper Sauce</c:v>
                  </c:pt>
                  <c:pt idx="148">
                    <c:v>Louisiana Fiery Hot Pepper Sauce</c:v>
                  </c:pt>
                  <c:pt idx="149">
                    <c:v>Louisiana Fiery Hot Pepper Sauce</c:v>
                  </c:pt>
                  <c:pt idx="150">
                    <c:v>Louisiana Fiery Hot Pepper Sauce</c:v>
                  </c:pt>
                  <c:pt idx="151">
                    <c:v>Louisiana Fiery Hot Pepper Sauce</c:v>
                  </c:pt>
                  <c:pt idx="152">
                    <c:v>Louisiana Fiery Hot Pepper Sauce</c:v>
                  </c:pt>
                  <c:pt idx="153">
                    <c:v>Louisiana Fiery Hot Pepper Sauce</c:v>
                  </c:pt>
                  <c:pt idx="154">
                    <c:v>Louisiana Fiery Hot Pepper Sauce</c:v>
                  </c:pt>
                  <c:pt idx="155">
                    <c:v>Louisiana Fiery Hot Pepper Sauce</c:v>
                  </c:pt>
                  <c:pt idx="156">
                    <c:v>Louisiana Fiery Hot Pepper Sauce</c:v>
                  </c:pt>
                  <c:pt idx="157">
                    <c:v>Louisiana Fiery Hot Pepper Sauce</c:v>
                  </c:pt>
                  <c:pt idx="158">
                    <c:v>Louisiana Fiery Hot Pepper Sauce</c:v>
                  </c:pt>
                  <c:pt idx="159">
                    <c:v>Louisiana Fiery Hot Pepper Sauce</c:v>
                  </c:pt>
                  <c:pt idx="160">
                    <c:v>Louisiana Fiery Hot Pepper Sauce</c:v>
                  </c:pt>
                  <c:pt idx="161">
                    <c:v>Louisiana Fiery Hot Pepper Sauce</c:v>
                  </c:pt>
                  <c:pt idx="162">
                    <c:v>Louisiana Hot Spiced Okra</c:v>
                  </c:pt>
                  <c:pt idx="163">
                    <c:v>Louisiana Hot Spiced Okra</c:v>
                  </c:pt>
                  <c:pt idx="164">
                    <c:v>Louisiana Hot Spiced Okra</c:v>
                  </c:pt>
                  <c:pt idx="165">
                    <c:v>Louisiana Hot Spiced Okra</c:v>
                  </c:pt>
                  <c:pt idx="166">
                    <c:v>Louisiana Hot Spiced Okra</c:v>
                  </c:pt>
                  <c:pt idx="167">
                    <c:v>Louisiana Hot Spiced Okra</c:v>
                  </c:pt>
                  <c:pt idx="168">
                    <c:v>Mozzarella di Giovanni</c:v>
                  </c:pt>
                  <c:pt idx="169">
                    <c:v>Mozzarella di Giovanni</c:v>
                  </c:pt>
                  <c:pt idx="170">
                    <c:v>Mozzarella di Giovanni</c:v>
                  </c:pt>
                  <c:pt idx="171">
                    <c:v>Mozzarella di Giovanni</c:v>
                  </c:pt>
                  <c:pt idx="172">
                    <c:v>Mozzarella di Giovanni</c:v>
                  </c:pt>
                  <c:pt idx="173">
                    <c:v>Mozzarella di Giovanni</c:v>
                  </c:pt>
                  <c:pt idx="174">
                    <c:v>Mozzarella di Giovanni</c:v>
                  </c:pt>
                  <c:pt idx="175">
                    <c:v>Mozzarella di Giovanni</c:v>
                  </c:pt>
                  <c:pt idx="176">
                    <c:v>Mozzarella di Giovanni</c:v>
                  </c:pt>
                  <c:pt idx="177">
                    <c:v>Mozzarella di Giovanni</c:v>
                  </c:pt>
                  <c:pt idx="178">
                    <c:v>Mozzarella di Giovanni</c:v>
                  </c:pt>
                  <c:pt idx="179">
                    <c:v>Mozzarella di Giovanni</c:v>
                  </c:pt>
                  <c:pt idx="180">
                    <c:v>Mozzarella di Giovanni</c:v>
                  </c:pt>
                  <c:pt idx="181">
                    <c:v>Mozzarella di Giovanni</c:v>
                  </c:pt>
                  <c:pt idx="182">
                    <c:v>Mozzarella di Giovanni</c:v>
                  </c:pt>
                  <c:pt idx="183">
                    <c:v>Mozzarella di Giovanni</c:v>
                  </c:pt>
                  <c:pt idx="184">
                    <c:v>Northwoods Cranberry Sauce</c:v>
                  </c:pt>
                  <c:pt idx="185">
                    <c:v>Northwoods Cranberry Sauce</c:v>
                  </c:pt>
                  <c:pt idx="186">
                    <c:v>Northwoods Cranberry Sauce</c:v>
                  </c:pt>
                  <c:pt idx="187">
                    <c:v>Northwoods Cranberry Sauce</c:v>
                  </c:pt>
                  <c:pt idx="188">
                    <c:v>Northwoods Cranberry Sauce</c:v>
                  </c:pt>
                  <c:pt idx="189">
                    <c:v>Ravioli Angelo</c:v>
                  </c:pt>
                  <c:pt idx="190">
                    <c:v>Ravioli Angelo</c:v>
                  </c:pt>
                  <c:pt idx="191">
                    <c:v>Ravioli Angelo</c:v>
                  </c:pt>
                  <c:pt idx="192">
                    <c:v>Ravioli Angelo</c:v>
                  </c:pt>
                  <c:pt idx="193">
                    <c:v>Ravioli Angelo</c:v>
                  </c:pt>
                  <c:pt idx="194">
                    <c:v>Ravioli Angelo</c:v>
                  </c:pt>
                  <c:pt idx="195">
                    <c:v>Ravioli Angelo</c:v>
                  </c:pt>
                  <c:pt idx="196">
                    <c:v>Ravioli Angelo</c:v>
                  </c:pt>
                  <c:pt idx="197">
                    <c:v>Sasquatch Ale</c:v>
                  </c:pt>
                  <c:pt idx="198">
                    <c:v>Sasquatch Ale</c:v>
                  </c:pt>
                  <c:pt idx="199">
                    <c:v>Sasquatch Ale</c:v>
                  </c:pt>
                  <c:pt idx="200">
                    <c:v>Sasquatch Ale</c:v>
                  </c:pt>
                  <c:pt idx="201">
                    <c:v>Sasquatch Ale</c:v>
                  </c:pt>
                  <c:pt idx="202">
                    <c:v>Sasquatch Ale</c:v>
                  </c:pt>
                  <c:pt idx="203">
                    <c:v>Sir Rodney's Marmalade</c:v>
                  </c:pt>
                  <c:pt idx="204">
                    <c:v>Sir Rodney's Marmalade</c:v>
                  </c:pt>
                  <c:pt idx="205">
                    <c:v>Sir Rodney's Marmalade</c:v>
                  </c:pt>
                  <c:pt idx="206">
                    <c:v>Sir Rodney's Marmalade</c:v>
                  </c:pt>
                  <c:pt idx="207">
                    <c:v>Sir Rodney's Scones</c:v>
                  </c:pt>
                  <c:pt idx="208">
                    <c:v>Sir Rodney's Scones</c:v>
                  </c:pt>
                  <c:pt idx="209">
                    <c:v>Sir Rodney's Scones</c:v>
                  </c:pt>
                  <c:pt idx="210">
                    <c:v>Sir Rodney's Scones</c:v>
                  </c:pt>
                  <c:pt idx="211">
                    <c:v>Sir Rodney's Scones</c:v>
                  </c:pt>
                  <c:pt idx="212">
                    <c:v>Sir Rodney's Scones</c:v>
                  </c:pt>
                  <c:pt idx="213">
                    <c:v>Sir Rodney's Scones</c:v>
                  </c:pt>
                  <c:pt idx="214">
                    <c:v>Sir Rodney's Scones</c:v>
                  </c:pt>
                  <c:pt idx="215">
                    <c:v>Sir Rodney's Scones</c:v>
                  </c:pt>
                  <c:pt idx="216">
                    <c:v>Sir Rodney's Scones</c:v>
                  </c:pt>
                  <c:pt idx="217">
                    <c:v>Sir Rodney's Scones</c:v>
                  </c:pt>
                  <c:pt idx="218">
                    <c:v>Sir Rodney's Scones</c:v>
                  </c:pt>
                  <c:pt idx="219">
                    <c:v>Sir Rodney's Scones</c:v>
                  </c:pt>
                  <c:pt idx="220">
                    <c:v>Sir Rodney's Scones</c:v>
                  </c:pt>
                  <c:pt idx="221">
                    <c:v>Sir Rodney's Scones</c:v>
                  </c:pt>
                  <c:pt idx="222">
                    <c:v>Sir Rodney's Scones</c:v>
                  </c:pt>
                  <c:pt idx="223">
                    <c:v>Sir Rodney's Scones</c:v>
                  </c:pt>
                  <c:pt idx="224">
                    <c:v>Sir Rodney's Scones</c:v>
                  </c:pt>
                  <c:pt idx="225">
                    <c:v>Sir Rodney's Scones</c:v>
                  </c:pt>
                  <c:pt idx="226">
                    <c:v>Sir Rodney's Scones</c:v>
                  </c:pt>
                  <c:pt idx="227">
                    <c:v>Sir Rodney's Scones</c:v>
                  </c:pt>
                  <c:pt idx="228">
                    <c:v>Steeleye Stout</c:v>
                  </c:pt>
                  <c:pt idx="229">
                    <c:v>Steeleye Stout</c:v>
                  </c:pt>
                  <c:pt idx="230">
                    <c:v>Steeleye Stout</c:v>
                  </c:pt>
                  <c:pt idx="231">
                    <c:v>Steeleye Stout</c:v>
                  </c:pt>
                  <c:pt idx="232">
                    <c:v>Steeleye Stout</c:v>
                  </c:pt>
                  <c:pt idx="233">
                    <c:v>Steeleye Stout</c:v>
                  </c:pt>
                  <c:pt idx="234">
                    <c:v>Steeleye Stout</c:v>
                  </c:pt>
                  <c:pt idx="235">
                    <c:v>Steeleye Stout</c:v>
                  </c:pt>
                  <c:pt idx="236">
                    <c:v>Steeleye Stout</c:v>
                  </c:pt>
                  <c:pt idx="237">
                    <c:v>Steeleye Stout</c:v>
                  </c:pt>
                  <c:pt idx="238">
                    <c:v>Steeleye Stout</c:v>
                  </c:pt>
                  <c:pt idx="239">
                    <c:v>Steeleye Stout</c:v>
                  </c:pt>
                  <c:pt idx="240">
                    <c:v>Steeleye Stout</c:v>
                  </c:pt>
                  <c:pt idx="241">
                    <c:v>Steeleye Stout</c:v>
                  </c:pt>
                  <c:pt idx="242">
                    <c:v>Steeleye Stout</c:v>
                  </c:pt>
                  <c:pt idx="243">
                    <c:v>Teatime Chocolate Biscuits</c:v>
                  </c:pt>
                  <c:pt idx="244">
                    <c:v>Teatime Chocolate Biscuits</c:v>
                  </c:pt>
                  <c:pt idx="245">
                    <c:v>Teatime Chocolate Biscuits</c:v>
                  </c:pt>
                  <c:pt idx="246">
                    <c:v>Teatime Chocolate Biscuits</c:v>
                  </c:pt>
                  <c:pt idx="247">
                    <c:v>Teatime Chocolate Biscuits</c:v>
                  </c:pt>
                  <c:pt idx="248">
                    <c:v>Teatime Chocolate Biscuits</c:v>
                  </c:pt>
                  <c:pt idx="249">
                    <c:v>Teatime Chocolate Biscuits</c:v>
                  </c:pt>
                  <c:pt idx="250">
                    <c:v>Teatime Chocolate Biscuits</c:v>
                  </c:pt>
                  <c:pt idx="251">
                    <c:v>Teatime Chocolate Biscuits</c:v>
                  </c:pt>
                  <c:pt idx="252">
                    <c:v>Teatime Chocolate Biscuits</c:v>
                  </c:pt>
                  <c:pt idx="253">
                    <c:v>Teatime Chocolate Biscuits</c:v>
                  </c:pt>
                  <c:pt idx="254">
                    <c:v>Teatime Chocolate Biscuits</c:v>
                  </c:pt>
                  <c:pt idx="255">
                    <c:v>Teatime Chocolate Biscuits</c:v>
                  </c:pt>
                  <c:pt idx="256">
                    <c:v>Teatime Chocolate Biscuits</c:v>
                  </c:pt>
                  <c:pt idx="257">
                    <c:v>Teatime Chocolate Biscuits</c:v>
                  </c:pt>
                  <c:pt idx="258">
                    <c:v>Teatime Chocolate Biscuits</c:v>
                  </c:pt>
                  <c:pt idx="259">
                    <c:v>Teatime Chocolate Biscuits</c:v>
                  </c:pt>
                  <c:pt idx="260">
                    <c:v>Teatime Chocolate Biscuits</c:v>
                  </c:pt>
                  <c:pt idx="261">
                    <c:v>Uncle Bob's Organic Dried Pears</c:v>
                  </c:pt>
                  <c:pt idx="262">
                    <c:v>Uncle Bob's Organic Dried Pears</c:v>
                  </c:pt>
                  <c:pt idx="263">
                    <c:v>Uncle Bob's Organic Dried Pears</c:v>
                  </c:pt>
                  <c:pt idx="264">
                    <c:v>Uncle Bob's Organic Dried Pears</c:v>
                  </c:pt>
                  <c:pt idx="265">
                    <c:v>Uncle Bob's Organic Dried Pears</c:v>
                  </c:pt>
                  <c:pt idx="266">
                    <c:v>Uncle Bob's Organic Dried Pears</c:v>
                  </c:pt>
                  <c:pt idx="267">
                    <c:v>Uncle Bob's Organic Dried Pears</c:v>
                  </c:pt>
                  <c:pt idx="268">
                    <c:v>Uncle Bob's Organic Dried Pears</c:v>
                  </c:pt>
                  <c:pt idx="269">
                    <c:v>Uncle Bob's Organic Dried Pears</c:v>
                  </c:pt>
                  <c:pt idx="270">
                    <c:v>Veggie-spread</c:v>
                  </c:pt>
                  <c:pt idx="271">
                    <c:v>Veggie-spread</c:v>
                  </c:pt>
                  <c:pt idx="272">
                    <c:v>Veggie-spread</c:v>
                  </c:pt>
                  <c:pt idx="273">
                    <c:v>Veggie-spread</c:v>
                  </c:pt>
                  <c:pt idx="274">
                    <c:v>Veggie-spread</c:v>
                  </c:pt>
                  <c:pt idx="275">
                    <c:v>Veggie-spread</c:v>
                  </c:pt>
                  <c:pt idx="276">
                    <c:v>Veggie-spread</c:v>
                  </c:pt>
                </c:lvl>
              </c:multiLvlStrCache>
            </c:multiLvlStrRef>
          </c:cat>
          <c:val>
            <c:numRef>
              <c:f>Sheet13!$C$2:$C$278</c:f>
              <c:numCache>
                <c:formatCode>_([$$-409]* #,##0.00_);_([$$-409]* \(#,##0.00\);_([$$-409]* "-"??_);_(@_)</c:formatCode>
                <c:ptCount val="277"/>
                <c:pt idx="0">
                  <c:v>0</c:v>
                </c:pt>
                <c:pt idx="1">
                  <c:v>312</c:v>
                </c:pt>
                <c:pt idx="2">
                  <c:v>0</c:v>
                </c:pt>
                <c:pt idx="3">
                  <c:v>1170</c:v>
                </c:pt>
                <c:pt idx="4">
                  <c:v>1123.2</c:v>
                </c:pt>
                <c:pt idx="5">
                  <c:v>0</c:v>
                </c:pt>
                <c:pt idx="6">
                  <c:v>62.4</c:v>
                </c:pt>
                <c:pt idx="7">
                  <c:v>0</c:v>
                </c:pt>
                <c:pt idx="8">
                  <c:v>0</c:v>
                </c:pt>
                <c:pt idx="9">
                  <c:v>0</c:v>
                </c:pt>
                <c:pt idx="10">
                  <c:v>0</c:v>
                </c:pt>
                <c:pt idx="11">
                  <c:v>0</c:v>
                </c:pt>
                <c:pt idx="12">
                  <c:v>0</c:v>
                </c:pt>
                <c:pt idx="13">
                  <c:v>0</c:v>
                </c:pt>
                <c:pt idx="14">
                  <c:v>0</c:v>
                </c:pt>
                <c:pt idx="15">
                  <c:v>0</c:v>
                </c:pt>
                <c:pt idx="16">
                  <c:v>544</c:v>
                </c:pt>
                <c:pt idx="17">
                  <c:v>0</c:v>
                </c:pt>
                <c:pt idx="18">
                  <c:v>0</c:v>
                </c:pt>
                <c:pt idx="19">
                  <c:v>0</c:v>
                </c:pt>
                <c:pt idx="20">
                  <c:v>0</c:v>
                </c:pt>
                <c:pt idx="21">
                  <c:v>0</c:v>
                </c:pt>
                <c:pt idx="22">
                  <c:v>551.25</c:v>
                </c:pt>
                <c:pt idx="23">
                  <c:v>147</c:v>
                </c:pt>
                <c:pt idx="24">
                  <c:v>0</c:v>
                </c:pt>
                <c:pt idx="25">
                  <c:v>0</c:v>
                </c:pt>
                <c:pt idx="26">
                  <c:v>147</c:v>
                </c:pt>
                <c:pt idx="27">
                  <c:v>0</c:v>
                </c:pt>
                <c:pt idx="28">
                  <c:v>0</c:v>
                </c:pt>
                <c:pt idx="29">
                  <c:v>0</c:v>
                </c:pt>
                <c:pt idx="30">
                  <c:v>308.7</c:v>
                </c:pt>
                <c:pt idx="31">
                  <c:v>26.46</c:v>
                </c:pt>
                <c:pt idx="32">
                  <c:v>0</c:v>
                </c:pt>
                <c:pt idx="33">
                  <c:v>294</c:v>
                </c:pt>
                <c:pt idx="34">
                  <c:v>0</c:v>
                </c:pt>
                <c:pt idx="35">
                  <c:v>0</c:v>
                </c:pt>
                <c:pt idx="36">
                  <c:v>294</c:v>
                </c:pt>
                <c:pt idx="37">
                  <c:v>0</c:v>
                </c:pt>
                <c:pt idx="38">
                  <c:v>0</c:v>
                </c:pt>
                <c:pt idx="39">
                  <c:v>0</c:v>
                </c:pt>
                <c:pt idx="40">
                  <c:v>0</c:v>
                </c:pt>
                <c:pt idx="41">
                  <c:v>0</c:v>
                </c:pt>
                <c:pt idx="42">
                  <c:v>0</c:v>
                </c:pt>
                <c:pt idx="43">
                  <c:v>0</c:v>
                </c:pt>
                <c:pt idx="44">
                  <c:v>544</c:v>
                </c:pt>
                <c:pt idx="45">
                  <c:v>0</c:v>
                </c:pt>
                <c:pt idx="46">
                  <c:v>0</c:v>
                </c:pt>
                <c:pt idx="47">
                  <c:v>0</c:v>
                </c:pt>
                <c:pt idx="48">
                  <c:v>0</c:v>
                </c:pt>
                <c:pt idx="49">
                  <c:v>0</c:v>
                </c:pt>
                <c:pt idx="50">
                  <c:v>0</c:v>
                </c:pt>
                <c:pt idx="51">
                  <c:v>1088</c:v>
                </c:pt>
                <c:pt idx="52">
                  <c:v>1550.4</c:v>
                </c:pt>
                <c:pt idx="53">
                  <c:v>0</c:v>
                </c:pt>
                <c:pt idx="54">
                  <c:v>0</c:v>
                </c:pt>
                <c:pt idx="55">
                  <c:v>0</c:v>
                </c:pt>
                <c:pt idx="56">
                  <c:v>0</c:v>
                </c:pt>
                <c:pt idx="57">
                  <c:v>0</c:v>
                </c:pt>
                <c:pt idx="58">
                  <c:v>0</c:v>
                </c:pt>
                <c:pt idx="59">
                  <c:v>0</c:v>
                </c:pt>
                <c:pt idx="60">
                  <c:v>225.28</c:v>
                </c:pt>
                <c:pt idx="61">
                  <c:v>0</c:v>
                </c:pt>
                <c:pt idx="62">
                  <c:v>0</c:v>
                </c:pt>
                <c:pt idx="63">
                  <c:v>0</c:v>
                </c:pt>
                <c:pt idx="64">
                  <c:v>0</c:v>
                </c:pt>
                <c:pt idx="65">
                  <c:v>0</c:v>
                </c:pt>
                <c:pt idx="66">
                  <c:v>0</c:v>
                </c:pt>
                <c:pt idx="67">
                  <c:v>0</c:v>
                </c:pt>
                <c:pt idx="68">
                  <c:v>0</c:v>
                </c:pt>
                <c:pt idx="69">
                  <c:v>0</c:v>
                </c:pt>
                <c:pt idx="70">
                  <c:v>112</c:v>
                </c:pt>
                <c:pt idx="71">
                  <c:v>0</c:v>
                </c:pt>
                <c:pt idx="72">
                  <c:v>0</c:v>
                </c:pt>
                <c:pt idx="73">
                  <c:v>0</c:v>
                </c:pt>
                <c:pt idx="74">
                  <c:v>0</c:v>
                </c:pt>
                <c:pt idx="75">
                  <c:v>0</c:v>
                </c:pt>
                <c:pt idx="76">
                  <c:v>0</c:v>
                </c:pt>
                <c:pt idx="77">
                  <c:v>0</c:v>
                </c:pt>
                <c:pt idx="78">
                  <c:v>0</c:v>
                </c:pt>
                <c:pt idx="79">
                  <c:v>75.599999999999994</c:v>
                </c:pt>
                <c:pt idx="80">
                  <c:v>0</c:v>
                </c:pt>
                <c:pt idx="81">
                  <c:v>0</c:v>
                </c:pt>
                <c:pt idx="82">
                  <c:v>0</c:v>
                </c:pt>
                <c:pt idx="83">
                  <c:v>0</c:v>
                </c:pt>
                <c:pt idx="84">
                  <c:v>0</c:v>
                </c:pt>
                <c:pt idx="85">
                  <c:v>0</c:v>
                </c:pt>
                <c:pt idx="86">
                  <c:v>0</c:v>
                </c:pt>
                <c:pt idx="87">
                  <c:v>0</c:v>
                </c:pt>
                <c:pt idx="88">
                  <c:v>140</c:v>
                </c:pt>
                <c:pt idx="89">
                  <c:v>0</c:v>
                </c:pt>
                <c:pt idx="90">
                  <c:v>0</c:v>
                </c:pt>
                <c:pt idx="91">
                  <c:v>0</c:v>
                </c:pt>
                <c:pt idx="92">
                  <c:v>0</c:v>
                </c:pt>
                <c:pt idx="93">
                  <c:v>0</c:v>
                </c:pt>
                <c:pt idx="94">
                  <c:v>0</c:v>
                </c:pt>
                <c:pt idx="95">
                  <c:v>0</c:v>
                </c:pt>
                <c:pt idx="96">
                  <c:v>0</c:v>
                </c:pt>
                <c:pt idx="97">
                  <c:v>0</c:v>
                </c:pt>
                <c:pt idx="98">
                  <c:v>0</c:v>
                </c:pt>
                <c:pt idx="99">
                  <c:v>0</c:v>
                </c:pt>
                <c:pt idx="100">
                  <c:v>297.5</c:v>
                </c:pt>
                <c:pt idx="101">
                  <c:v>27</c:v>
                </c:pt>
                <c:pt idx="102">
                  <c:v>0</c:v>
                </c:pt>
                <c:pt idx="103">
                  <c:v>0</c:v>
                </c:pt>
                <c:pt idx="104">
                  <c:v>0</c:v>
                </c:pt>
                <c:pt idx="105">
                  <c:v>0</c:v>
                </c:pt>
                <c:pt idx="106">
                  <c:v>0</c:v>
                </c:pt>
                <c:pt idx="107">
                  <c:v>0</c:v>
                </c:pt>
                <c:pt idx="108">
                  <c:v>0</c:v>
                </c:pt>
                <c:pt idx="109">
                  <c:v>0</c:v>
                </c:pt>
                <c:pt idx="110">
                  <c:v>110.4</c:v>
                </c:pt>
                <c:pt idx="111">
                  <c:v>552</c:v>
                </c:pt>
                <c:pt idx="112">
                  <c:v>0</c:v>
                </c:pt>
                <c:pt idx="113">
                  <c:v>0</c:v>
                </c:pt>
                <c:pt idx="114">
                  <c:v>0</c:v>
                </c:pt>
                <c:pt idx="115">
                  <c:v>0</c:v>
                </c:pt>
                <c:pt idx="116">
                  <c:v>736</c:v>
                </c:pt>
                <c:pt idx="117">
                  <c:v>0</c:v>
                </c:pt>
                <c:pt idx="118">
                  <c:v>0</c:v>
                </c:pt>
                <c:pt idx="119">
                  <c:v>0</c:v>
                </c:pt>
                <c:pt idx="120">
                  <c:v>231</c:v>
                </c:pt>
                <c:pt idx="121">
                  <c:v>0</c:v>
                </c:pt>
                <c:pt idx="122">
                  <c:v>154</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128</c:v>
                </c:pt>
                <c:pt idx="143">
                  <c:v>240</c:v>
                </c:pt>
                <c:pt idx="144">
                  <c:v>120</c:v>
                </c:pt>
                <c:pt idx="145">
                  <c:v>0</c:v>
                </c:pt>
                <c:pt idx="146">
                  <c:v>0</c:v>
                </c:pt>
                <c:pt idx="147">
                  <c:v>0</c:v>
                </c:pt>
                <c:pt idx="148">
                  <c:v>0</c:v>
                </c:pt>
                <c:pt idx="149">
                  <c:v>0</c:v>
                </c:pt>
                <c:pt idx="150">
                  <c:v>0</c:v>
                </c:pt>
                <c:pt idx="151">
                  <c:v>0</c:v>
                </c:pt>
                <c:pt idx="152">
                  <c:v>0</c:v>
                </c:pt>
                <c:pt idx="153">
                  <c:v>0</c:v>
                </c:pt>
                <c:pt idx="154">
                  <c:v>0</c:v>
                </c:pt>
                <c:pt idx="155">
                  <c:v>0</c:v>
                </c:pt>
                <c:pt idx="156">
                  <c:v>0</c:v>
                </c:pt>
                <c:pt idx="157">
                  <c:v>423.36</c:v>
                </c:pt>
                <c:pt idx="158">
                  <c:v>336</c:v>
                </c:pt>
                <c:pt idx="159">
                  <c:v>588</c:v>
                </c:pt>
                <c:pt idx="160">
                  <c:v>0</c:v>
                </c:pt>
                <c:pt idx="161">
                  <c:v>0</c:v>
                </c:pt>
                <c:pt idx="162">
                  <c:v>0</c:v>
                </c:pt>
                <c:pt idx="163">
                  <c:v>0</c:v>
                </c:pt>
                <c:pt idx="164">
                  <c:v>816</c:v>
                </c:pt>
                <c:pt idx="165">
                  <c:v>0</c:v>
                </c:pt>
                <c:pt idx="166">
                  <c:v>0</c:v>
                </c:pt>
                <c:pt idx="167">
                  <c:v>693.6</c:v>
                </c:pt>
                <c:pt idx="168">
                  <c:v>0</c:v>
                </c:pt>
                <c:pt idx="169">
                  <c:v>0</c:v>
                </c:pt>
                <c:pt idx="170">
                  <c:v>278</c:v>
                </c:pt>
                <c:pt idx="171">
                  <c:v>0</c:v>
                </c:pt>
                <c:pt idx="172">
                  <c:v>0</c:v>
                </c:pt>
                <c:pt idx="173">
                  <c:v>0</c:v>
                </c:pt>
                <c:pt idx="174">
                  <c:v>0</c:v>
                </c:pt>
                <c:pt idx="175">
                  <c:v>0</c:v>
                </c:pt>
                <c:pt idx="176">
                  <c:v>0</c:v>
                </c:pt>
                <c:pt idx="177">
                  <c:v>0</c:v>
                </c:pt>
                <c:pt idx="178">
                  <c:v>0</c:v>
                </c:pt>
                <c:pt idx="179">
                  <c:v>0</c:v>
                </c:pt>
                <c:pt idx="180">
                  <c:v>0</c:v>
                </c:pt>
                <c:pt idx="181">
                  <c:v>0</c:v>
                </c:pt>
                <c:pt idx="182">
                  <c:v>0</c:v>
                </c:pt>
                <c:pt idx="183">
                  <c:v>1112</c:v>
                </c:pt>
                <c:pt idx="184">
                  <c:v>0</c:v>
                </c:pt>
                <c:pt idx="185">
                  <c:v>0</c:v>
                </c:pt>
                <c:pt idx="186">
                  <c:v>0</c:v>
                </c:pt>
                <c:pt idx="187">
                  <c:v>0</c:v>
                </c:pt>
                <c:pt idx="188">
                  <c:v>0</c:v>
                </c:pt>
                <c:pt idx="189">
                  <c:v>0</c:v>
                </c:pt>
                <c:pt idx="190">
                  <c:v>0</c:v>
                </c:pt>
                <c:pt idx="191">
                  <c:v>0</c:v>
                </c:pt>
                <c:pt idx="192">
                  <c:v>0</c:v>
                </c:pt>
                <c:pt idx="193">
                  <c:v>0</c:v>
                </c:pt>
                <c:pt idx="194">
                  <c:v>0</c:v>
                </c:pt>
                <c:pt idx="195">
                  <c:v>187.2</c:v>
                </c:pt>
                <c:pt idx="196">
                  <c:v>312</c:v>
                </c:pt>
                <c:pt idx="197">
                  <c:v>0</c:v>
                </c:pt>
                <c:pt idx="198">
                  <c:v>0</c:v>
                </c:pt>
                <c:pt idx="199">
                  <c:v>0</c:v>
                </c:pt>
                <c:pt idx="200">
                  <c:v>179.2</c:v>
                </c:pt>
                <c:pt idx="201">
                  <c:v>0</c:v>
                </c:pt>
                <c:pt idx="202">
                  <c:v>372.4</c:v>
                </c:pt>
                <c:pt idx="203">
                  <c:v>0</c:v>
                </c:pt>
                <c:pt idx="204">
                  <c:v>0</c:v>
                </c:pt>
                <c:pt idx="205">
                  <c:v>0</c:v>
                </c:pt>
                <c:pt idx="206">
                  <c:v>0</c:v>
                </c:pt>
                <c:pt idx="207">
                  <c:v>0</c:v>
                </c:pt>
                <c:pt idx="208">
                  <c:v>112</c:v>
                </c:pt>
                <c:pt idx="209">
                  <c:v>0</c:v>
                </c:pt>
                <c:pt idx="210">
                  <c:v>0</c:v>
                </c:pt>
                <c:pt idx="211">
                  <c:v>400</c:v>
                </c:pt>
                <c:pt idx="212">
                  <c:v>0</c:v>
                </c:pt>
                <c:pt idx="213">
                  <c:v>0</c:v>
                </c:pt>
                <c:pt idx="214">
                  <c:v>0</c:v>
                </c:pt>
                <c:pt idx="215">
                  <c:v>0</c:v>
                </c:pt>
                <c:pt idx="216">
                  <c:v>272</c:v>
                </c:pt>
                <c:pt idx="217">
                  <c:v>240</c:v>
                </c:pt>
                <c:pt idx="218">
                  <c:v>0</c:v>
                </c:pt>
                <c:pt idx="219">
                  <c:v>0</c:v>
                </c:pt>
                <c:pt idx="220">
                  <c:v>96</c:v>
                </c:pt>
                <c:pt idx="221">
                  <c:v>126</c:v>
                </c:pt>
                <c:pt idx="222">
                  <c:v>216</c:v>
                </c:pt>
                <c:pt idx="223">
                  <c:v>0</c:v>
                </c:pt>
                <c:pt idx="224">
                  <c:v>0</c:v>
                </c:pt>
                <c:pt idx="225">
                  <c:v>0</c:v>
                </c:pt>
                <c:pt idx="226">
                  <c:v>0</c:v>
                </c:pt>
                <c:pt idx="227">
                  <c:v>0</c:v>
                </c:pt>
                <c:pt idx="228">
                  <c:v>115.2</c:v>
                </c:pt>
                <c:pt idx="229">
                  <c:v>0</c:v>
                </c:pt>
                <c:pt idx="230">
                  <c:v>0</c:v>
                </c:pt>
                <c:pt idx="231">
                  <c:v>504</c:v>
                </c:pt>
                <c:pt idx="232">
                  <c:v>0</c:v>
                </c:pt>
                <c:pt idx="233">
                  <c:v>0</c:v>
                </c:pt>
                <c:pt idx="234">
                  <c:v>0</c:v>
                </c:pt>
                <c:pt idx="235">
                  <c:v>0</c:v>
                </c:pt>
                <c:pt idx="236">
                  <c:v>0</c:v>
                </c:pt>
                <c:pt idx="237">
                  <c:v>0</c:v>
                </c:pt>
                <c:pt idx="238">
                  <c:v>691.2</c:v>
                </c:pt>
                <c:pt idx="239">
                  <c:v>0</c:v>
                </c:pt>
                <c:pt idx="240">
                  <c:v>0</c:v>
                </c:pt>
                <c:pt idx="241">
                  <c:v>0</c:v>
                </c:pt>
                <c:pt idx="242">
                  <c:v>0</c:v>
                </c:pt>
                <c:pt idx="243">
                  <c:v>124.83</c:v>
                </c:pt>
                <c:pt idx="244">
                  <c:v>0</c:v>
                </c:pt>
                <c:pt idx="245">
                  <c:v>0</c:v>
                </c:pt>
                <c:pt idx="246">
                  <c:v>0</c:v>
                </c:pt>
                <c:pt idx="247">
                  <c:v>0</c:v>
                </c:pt>
                <c:pt idx="248">
                  <c:v>0</c:v>
                </c:pt>
                <c:pt idx="249">
                  <c:v>0</c:v>
                </c:pt>
                <c:pt idx="250">
                  <c:v>24.82</c:v>
                </c:pt>
                <c:pt idx="251">
                  <c:v>36.5</c:v>
                </c:pt>
                <c:pt idx="252">
                  <c:v>0</c:v>
                </c:pt>
                <c:pt idx="253">
                  <c:v>292</c:v>
                </c:pt>
                <c:pt idx="254">
                  <c:v>0</c:v>
                </c:pt>
                <c:pt idx="255">
                  <c:v>153.30000000000001</c:v>
                </c:pt>
                <c:pt idx="256">
                  <c:v>166.44</c:v>
                </c:pt>
                <c:pt idx="257">
                  <c:v>0</c:v>
                </c:pt>
                <c:pt idx="258">
                  <c:v>0</c:v>
                </c:pt>
                <c:pt idx="259">
                  <c:v>146</c:v>
                </c:pt>
                <c:pt idx="260">
                  <c:v>0</c:v>
                </c:pt>
                <c:pt idx="261">
                  <c:v>0</c:v>
                </c:pt>
                <c:pt idx="262">
                  <c:v>720</c:v>
                </c:pt>
                <c:pt idx="263">
                  <c:v>0</c:v>
                </c:pt>
                <c:pt idx="264">
                  <c:v>0</c:v>
                </c:pt>
                <c:pt idx="265">
                  <c:v>0</c:v>
                </c:pt>
                <c:pt idx="266">
                  <c:v>0</c:v>
                </c:pt>
                <c:pt idx="267">
                  <c:v>0</c:v>
                </c:pt>
                <c:pt idx="268">
                  <c:v>0</c:v>
                </c:pt>
                <c:pt idx="269">
                  <c:v>364.8</c:v>
                </c:pt>
                <c:pt idx="270">
                  <c:v>0</c:v>
                </c:pt>
                <c:pt idx="271">
                  <c:v>2281.5</c:v>
                </c:pt>
                <c:pt idx="272">
                  <c:v>0</c:v>
                </c:pt>
                <c:pt idx="273">
                  <c:v>921.37</c:v>
                </c:pt>
                <c:pt idx="274">
                  <c:v>0</c:v>
                </c:pt>
                <c:pt idx="275">
                  <c:v>0</c:v>
                </c:pt>
                <c:pt idx="276">
                  <c:v>0</c:v>
                </c:pt>
              </c:numCache>
            </c:numRef>
          </c:val>
          <c:extLst>
            <c:ext xmlns:c16="http://schemas.microsoft.com/office/drawing/2014/chart" uri="{C3380CC4-5D6E-409C-BE32-E72D297353CC}">
              <c16:uniqueId val="{00000000-6469-407E-9C4B-4CC4314D4249}"/>
            </c:ext>
          </c:extLst>
        </c:ser>
        <c:ser>
          <c:idx val="1"/>
          <c:order val="1"/>
          <c:spPr>
            <a:solidFill>
              <a:schemeClr val="accent2"/>
            </a:solidFill>
            <a:ln>
              <a:noFill/>
            </a:ln>
            <a:effectLst/>
          </c:spPr>
          <c:invertIfNegative val="0"/>
          <c:cat>
            <c:multiLvlStrRef>
              <c:f>Sheet13!$A$2:$B$278</c:f>
              <c:multiLvlStrCache>
                <c:ptCount val="277"/>
                <c:lvl>
                  <c:pt idx="0">
                    <c:v>ANTON</c:v>
                  </c:pt>
                  <c:pt idx="1">
                    <c:v>BERGS</c:v>
                  </c:pt>
                  <c:pt idx="2">
                    <c:v>BOLID</c:v>
                  </c:pt>
                  <c:pt idx="3">
                    <c:v>BOTTM</c:v>
                  </c:pt>
                  <c:pt idx="4">
                    <c:v>ERNSH</c:v>
                  </c:pt>
                  <c:pt idx="5">
                    <c:v>GODOS</c:v>
                  </c:pt>
                  <c:pt idx="6">
                    <c:v>HUNGC</c:v>
                  </c:pt>
                  <c:pt idx="7">
                    <c:v>PICCO</c:v>
                  </c:pt>
                  <c:pt idx="8">
                    <c:v>RATTC</c:v>
                  </c:pt>
                  <c:pt idx="9">
                    <c:v>REGGC</c:v>
                  </c:pt>
                  <c:pt idx="10">
                    <c:v>SAVEA</c:v>
                  </c:pt>
                  <c:pt idx="11">
                    <c:v>SEVES</c:v>
                  </c:pt>
                  <c:pt idx="12">
                    <c:v>WHITC</c:v>
                  </c:pt>
                  <c:pt idx="13">
                    <c:v>ALFKI</c:v>
                  </c:pt>
                  <c:pt idx="14">
                    <c:v>BOTTM</c:v>
                  </c:pt>
                  <c:pt idx="15">
                    <c:v>ERNSH</c:v>
                  </c:pt>
                  <c:pt idx="16">
                    <c:v>LINOD</c:v>
                  </c:pt>
                  <c:pt idx="17">
                    <c:v>QUICK</c:v>
                  </c:pt>
                  <c:pt idx="18">
                    <c:v>VAFFE</c:v>
                  </c:pt>
                  <c:pt idx="19">
                    <c:v>ANTON</c:v>
                  </c:pt>
                  <c:pt idx="20">
                    <c:v>BERGS</c:v>
                  </c:pt>
                  <c:pt idx="21">
                    <c:v>BONAP</c:v>
                  </c:pt>
                  <c:pt idx="22">
                    <c:v>BOTTM</c:v>
                  </c:pt>
                  <c:pt idx="23">
                    <c:v>BSBEV</c:v>
                  </c:pt>
                  <c:pt idx="24">
                    <c:v>FRANS</c:v>
                  </c:pt>
                  <c:pt idx="25">
                    <c:v>HILAA</c:v>
                  </c:pt>
                  <c:pt idx="26">
                    <c:v>LAZYK</c:v>
                  </c:pt>
                  <c:pt idx="27">
                    <c:v>LEHMS</c:v>
                  </c:pt>
                  <c:pt idx="28">
                    <c:v>MAGAA</c:v>
                  </c:pt>
                  <c:pt idx="29">
                    <c:v>OTTIK</c:v>
                  </c:pt>
                  <c:pt idx="30">
                    <c:v>PERIC</c:v>
                  </c:pt>
                  <c:pt idx="31">
                    <c:v>QUEEN</c:v>
                  </c:pt>
                  <c:pt idx="32">
                    <c:v>QUICK</c:v>
                  </c:pt>
                  <c:pt idx="33">
                    <c:v>RANCH</c:v>
                  </c:pt>
                  <c:pt idx="34">
                    <c:v>SAVEA</c:v>
                  </c:pt>
                  <c:pt idx="35">
                    <c:v>TRAIH</c:v>
                  </c:pt>
                  <c:pt idx="36">
                    <c:v>VAFFE</c:v>
                  </c:pt>
                  <c:pt idx="37">
                    <c:v>ANATR</c:v>
                  </c:pt>
                  <c:pt idx="38">
                    <c:v>AROUT</c:v>
                  </c:pt>
                  <c:pt idx="39">
                    <c:v>BERGS</c:v>
                  </c:pt>
                  <c:pt idx="40">
                    <c:v>BOTTM</c:v>
                  </c:pt>
                  <c:pt idx="41">
                    <c:v>CHOPS</c:v>
                  </c:pt>
                  <c:pt idx="42">
                    <c:v>FAMIA</c:v>
                  </c:pt>
                  <c:pt idx="43">
                    <c:v>FRANK</c:v>
                  </c:pt>
                  <c:pt idx="44">
                    <c:v>FURIB</c:v>
                  </c:pt>
                  <c:pt idx="45">
                    <c:v>GOURL</c:v>
                  </c:pt>
                  <c:pt idx="46">
                    <c:v>LEHMS</c:v>
                  </c:pt>
                  <c:pt idx="47">
                    <c:v>MEREP</c:v>
                  </c:pt>
                  <c:pt idx="48">
                    <c:v>OTTIK</c:v>
                  </c:pt>
                  <c:pt idx="49">
                    <c:v>QUEEN</c:v>
                  </c:pt>
                  <c:pt idx="50">
                    <c:v>QUICK</c:v>
                  </c:pt>
                  <c:pt idx="51">
                    <c:v>RICAR</c:v>
                  </c:pt>
                  <c:pt idx="52">
                    <c:v>RICSU</c:v>
                  </c:pt>
                  <c:pt idx="53">
                    <c:v>SAVEA</c:v>
                  </c:pt>
                  <c:pt idx="54">
                    <c:v>WARTH</c:v>
                  </c:pt>
                  <c:pt idx="55">
                    <c:v>WOLZA</c:v>
                  </c:pt>
                  <c:pt idx="56">
                    <c:v>BERGS</c:v>
                  </c:pt>
                  <c:pt idx="57">
                    <c:v>BONAP</c:v>
                  </c:pt>
                  <c:pt idx="58">
                    <c:v>EASTC</c:v>
                  </c:pt>
                  <c:pt idx="59">
                    <c:v>FOLKO</c:v>
                  </c:pt>
                  <c:pt idx="60">
                    <c:v>FURIB</c:v>
                  </c:pt>
                  <c:pt idx="61">
                    <c:v>MAGAA</c:v>
                  </c:pt>
                  <c:pt idx="62">
                    <c:v>QUEEN</c:v>
                  </c:pt>
                  <c:pt idx="63">
                    <c:v>QUICK</c:v>
                  </c:pt>
                  <c:pt idx="64">
                    <c:v>TRADH</c:v>
                  </c:pt>
                  <c:pt idx="65">
                    <c:v>WARTH</c:v>
                  </c:pt>
                  <c:pt idx="66">
                    <c:v>MAGAA</c:v>
                  </c:pt>
                  <c:pt idx="67">
                    <c:v>THEBI</c:v>
                  </c:pt>
                  <c:pt idx="68">
                    <c:v>AROUT</c:v>
                  </c:pt>
                  <c:pt idx="69">
                    <c:v>BERGS</c:v>
                  </c:pt>
                  <c:pt idx="70">
                    <c:v>BLONP</c:v>
                  </c:pt>
                  <c:pt idx="71">
                    <c:v>DUMON</c:v>
                  </c:pt>
                  <c:pt idx="72">
                    <c:v>FAMIA</c:v>
                  </c:pt>
                  <c:pt idx="73">
                    <c:v>LAUGB</c:v>
                  </c:pt>
                  <c:pt idx="74">
                    <c:v>NORTS</c:v>
                  </c:pt>
                  <c:pt idx="75">
                    <c:v>OLDWO</c:v>
                  </c:pt>
                  <c:pt idx="76">
                    <c:v>REGGC</c:v>
                  </c:pt>
                  <c:pt idx="77">
                    <c:v>RICAR</c:v>
                  </c:pt>
                  <c:pt idx="78">
                    <c:v>RICSU</c:v>
                  </c:pt>
                  <c:pt idx="79">
                    <c:v>TOMSP</c:v>
                  </c:pt>
                  <c:pt idx="80">
                    <c:v>VAFFE</c:v>
                  </c:pt>
                  <c:pt idx="81">
                    <c:v>VINET</c:v>
                  </c:pt>
                  <c:pt idx="82">
                    <c:v>AROUT</c:v>
                  </c:pt>
                  <c:pt idx="83">
                    <c:v>BLONP</c:v>
                  </c:pt>
                  <c:pt idx="84">
                    <c:v>BONAP</c:v>
                  </c:pt>
                  <c:pt idx="85">
                    <c:v>CACTU</c:v>
                  </c:pt>
                  <c:pt idx="86">
                    <c:v>ERNSH</c:v>
                  </c:pt>
                  <c:pt idx="87">
                    <c:v>FOLKO</c:v>
                  </c:pt>
                  <c:pt idx="88">
                    <c:v>GOURL</c:v>
                  </c:pt>
                  <c:pt idx="89">
                    <c:v>HANAR</c:v>
                  </c:pt>
                  <c:pt idx="90">
                    <c:v>HILAA</c:v>
                  </c:pt>
                  <c:pt idx="91">
                    <c:v>HUNGO</c:v>
                  </c:pt>
                  <c:pt idx="92">
                    <c:v>LEHMS</c:v>
                  </c:pt>
                  <c:pt idx="93">
                    <c:v>OLDWO</c:v>
                  </c:pt>
                  <c:pt idx="94">
                    <c:v>PICCO</c:v>
                  </c:pt>
                  <c:pt idx="95">
                    <c:v>QUEEN</c:v>
                  </c:pt>
                  <c:pt idx="96">
                    <c:v>QUICK</c:v>
                  </c:pt>
                  <c:pt idx="97">
                    <c:v>RATTC</c:v>
                  </c:pt>
                  <c:pt idx="98">
                    <c:v>RICSU</c:v>
                  </c:pt>
                  <c:pt idx="99">
                    <c:v>SAVEA</c:v>
                  </c:pt>
                  <c:pt idx="100">
                    <c:v>SUPRD</c:v>
                  </c:pt>
                  <c:pt idx="101">
                    <c:v>TOMSP</c:v>
                  </c:pt>
                  <c:pt idx="102">
                    <c:v>TORTU</c:v>
                  </c:pt>
                  <c:pt idx="103">
                    <c:v>TRADH</c:v>
                  </c:pt>
                  <c:pt idx="104">
                    <c:v>WANDK</c:v>
                  </c:pt>
                  <c:pt idx="105">
                    <c:v>WARTH</c:v>
                  </c:pt>
                  <c:pt idx="106">
                    <c:v>GOURL</c:v>
                  </c:pt>
                  <c:pt idx="107">
                    <c:v>MEREP</c:v>
                  </c:pt>
                  <c:pt idx="108">
                    <c:v>ANTON</c:v>
                  </c:pt>
                  <c:pt idx="109">
                    <c:v>BERGS</c:v>
                  </c:pt>
                  <c:pt idx="110">
                    <c:v>FURIB</c:v>
                  </c:pt>
                  <c:pt idx="111">
                    <c:v>KOENE</c:v>
                  </c:pt>
                  <c:pt idx="112">
                    <c:v>MAISD</c:v>
                  </c:pt>
                  <c:pt idx="113">
                    <c:v>OLDWO</c:v>
                  </c:pt>
                  <c:pt idx="114">
                    <c:v>PICCO</c:v>
                  </c:pt>
                  <c:pt idx="115">
                    <c:v>QUICK</c:v>
                  </c:pt>
                  <c:pt idx="116">
                    <c:v>SUPRD</c:v>
                  </c:pt>
                  <c:pt idx="117">
                    <c:v>WELLI</c:v>
                  </c:pt>
                  <c:pt idx="118">
                    <c:v>WILMK</c:v>
                  </c:pt>
                  <c:pt idx="119">
                    <c:v>AROUT</c:v>
                  </c:pt>
                  <c:pt idx="120">
                    <c:v>BERGS</c:v>
                  </c:pt>
                  <c:pt idx="121">
                    <c:v>BLONP</c:v>
                  </c:pt>
                  <c:pt idx="122">
                    <c:v>BOTTM</c:v>
                  </c:pt>
                  <c:pt idx="123">
                    <c:v>CACTU</c:v>
                  </c:pt>
                  <c:pt idx="124">
                    <c:v>FAMIA</c:v>
                  </c:pt>
                  <c:pt idx="125">
                    <c:v>FRANK</c:v>
                  </c:pt>
                  <c:pt idx="126">
                    <c:v>GOURL</c:v>
                  </c:pt>
                  <c:pt idx="127">
                    <c:v>HUNGO</c:v>
                  </c:pt>
                  <c:pt idx="128">
                    <c:v>LAUGB</c:v>
                  </c:pt>
                  <c:pt idx="129">
                    <c:v>OTTIK</c:v>
                  </c:pt>
                  <c:pt idx="130">
                    <c:v>PICCO</c:v>
                  </c:pt>
                  <c:pt idx="131">
                    <c:v>REGGC</c:v>
                  </c:pt>
                  <c:pt idx="132">
                    <c:v>SAVEA</c:v>
                  </c:pt>
                  <c:pt idx="133">
                    <c:v>SEVES</c:v>
                  </c:pt>
                  <c:pt idx="134">
                    <c:v>TOMSP</c:v>
                  </c:pt>
                  <c:pt idx="135">
                    <c:v>VAFFE</c:v>
                  </c:pt>
                  <c:pt idx="136">
                    <c:v>VINET</c:v>
                  </c:pt>
                  <c:pt idx="137">
                    <c:v>FRANK</c:v>
                  </c:pt>
                  <c:pt idx="138">
                    <c:v>LONEP</c:v>
                  </c:pt>
                  <c:pt idx="139">
                    <c:v>PERIC</c:v>
                  </c:pt>
                  <c:pt idx="140">
                    <c:v>THECR</c:v>
                  </c:pt>
                  <c:pt idx="141">
                    <c:v>FRANS</c:v>
                  </c:pt>
                  <c:pt idx="142">
                    <c:v>HILAA</c:v>
                  </c:pt>
                  <c:pt idx="143">
                    <c:v>MEREP</c:v>
                  </c:pt>
                  <c:pt idx="144">
                    <c:v>QUICK</c:v>
                  </c:pt>
                  <c:pt idx="145">
                    <c:v>VICTE</c:v>
                  </c:pt>
                  <c:pt idx="146">
                    <c:v>WARTH</c:v>
                  </c:pt>
                  <c:pt idx="147">
                    <c:v>BONAP</c:v>
                  </c:pt>
                  <c:pt idx="148">
                    <c:v>ERNSH</c:v>
                  </c:pt>
                  <c:pt idx="149">
                    <c:v>FRANR</c:v>
                  </c:pt>
                  <c:pt idx="150">
                    <c:v>FURIB</c:v>
                  </c:pt>
                  <c:pt idx="151">
                    <c:v>HANAR</c:v>
                  </c:pt>
                  <c:pt idx="152">
                    <c:v>HUNGO</c:v>
                  </c:pt>
                  <c:pt idx="153">
                    <c:v>LAMAI</c:v>
                  </c:pt>
                  <c:pt idx="154">
                    <c:v>LINOD</c:v>
                  </c:pt>
                  <c:pt idx="155">
                    <c:v>OTTIK</c:v>
                  </c:pt>
                  <c:pt idx="156">
                    <c:v>PICCO</c:v>
                  </c:pt>
                  <c:pt idx="157">
                    <c:v>QUICK</c:v>
                  </c:pt>
                  <c:pt idx="158">
                    <c:v>RATTC</c:v>
                  </c:pt>
                  <c:pt idx="159">
                    <c:v>RICAR</c:v>
                  </c:pt>
                  <c:pt idx="160">
                    <c:v>RICSU</c:v>
                  </c:pt>
                  <c:pt idx="161">
                    <c:v>VICTE</c:v>
                  </c:pt>
                  <c:pt idx="162">
                    <c:v>ANTON</c:v>
                  </c:pt>
                  <c:pt idx="163">
                    <c:v>EASTC</c:v>
                  </c:pt>
                  <c:pt idx="164">
                    <c:v>ERNSH</c:v>
                  </c:pt>
                  <c:pt idx="165">
                    <c:v>FOLKO</c:v>
                  </c:pt>
                  <c:pt idx="166">
                    <c:v>LAMAI</c:v>
                  </c:pt>
                  <c:pt idx="167">
                    <c:v>SUPRD</c:v>
                  </c:pt>
                  <c:pt idx="168">
                    <c:v>BOTTM</c:v>
                  </c:pt>
                  <c:pt idx="169">
                    <c:v>BSBEV</c:v>
                  </c:pt>
                  <c:pt idx="170">
                    <c:v>CONSH</c:v>
                  </c:pt>
                  <c:pt idx="171">
                    <c:v>FOLKO</c:v>
                  </c:pt>
                  <c:pt idx="172">
                    <c:v>GREAL</c:v>
                  </c:pt>
                  <c:pt idx="173">
                    <c:v>ISLAT</c:v>
                  </c:pt>
                  <c:pt idx="174">
                    <c:v>LEHMS</c:v>
                  </c:pt>
                  <c:pt idx="175">
                    <c:v>LINOD</c:v>
                  </c:pt>
                  <c:pt idx="176">
                    <c:v>MAGAA</c:v>
                  </c:pt>
                  <c:pt idx="177">
                    <c:v>MAISD</c:v>
                  </c:pt>
                  <c:pt idx="178">
                    <c:v>MORGK</c:v>
                  </c:pt>
                  <c:pt idx="179">
                    <c:v>QUICK</c:v>
                  </c:pt>
                  <c:pt idx="180">
                    <c:v>RICSU</c:v>
                  </c:pt>
                  <c:pt idx="181">
                    <c:v>SAVEA</c:v>
                  </c:pt>
                  <c:pt idx="182">
                    <c:v>SIMOB</c:v>
                  </c:pt>
                  <c:pt idx="183">
                    <c:v>VICTE</c:v>
                  </c:pt>
                  <c:pt idx="184">
                    <c:v>BONAP</c:v>
                  </c:pt>
                  <c:pt idx="185">
                    <c:v>GOURL</c:v>
                  </c:pt>
                  <c:pt idx="186">
                    <c:v>LEHMS</c:v>
                  </c:pt>
                  <c:pt idx="187">
                    <c:v>QUEEN</c:v>
                  </c:pt>
                  <c:pt idx="188">
                    <c:v>WILMK</c:v>
                  </c:pt>
                  <c:pt idx="189">
                    <c:v>ANTON</c:v>
                  </c:pt>
                  <c:pt idx="190">
                    <c:v>AROUT</c:v>
                  </c:pt>
                  <c:pt idx="191">
                    <c:v>BLAUS</c:v>
                  </c:pt>
                  <c:pt idx="192">
                    <c:v>BONAP</c:v>
                  </c:pt>
                  <c:pt idx="193">
                    <c:v>BSBEV</c:v>
                  </c:pt>
                  <c:pt idx="194">
                    <c:v>PICCO</c:v>
                  </c:pt>
                  <c:pt idx="195">
                    <c:v>TOMSP</c:v>
                  </c:pt>
                  <c:pt idx="196">
                    <c:v>WARTH</c:v>
                  </c:pt>
                  <c:pt idx="197">
                    <c:v>ANTON</c:v>
                  </c:pt>
                  <c:pt idx="198">
                    <c:v>SAVEA</c:v>
                  </c:pt>
                  <c:pt idx="199">
                    <c:v>THEBI</c:v>
                  </c:pt>
                  <c:pt idx="200">
                    <c:v>TOMSP</c:v>
                  </c:pt>
                  <c:pt idx="201">
                    <c:v>VAFFE</c:v>
                  </c:pt>
                  <c:pt idx="202">
                    <c:v>WHITC</c:v>
                  </c:pt>
                  <c:pt idx="203">
                    <c:v>ERNSH</c:v>
                  </c:pt>
                  <c:pt idx="204">
                    <c:v>HUNGC</c:v>
                  </c:pt>
                  <c:pt idx="205">
                    <c:v>LEHMS</c:v>
                  </c:pt>
                  <c:pt idx="206">
                    <c:v>SEVES</c:v>
                  </c:pt>
                  <c:pt idx="207">
                    <c:v>BLAUS</c:v>
                  </c:pt>
                  <c:pt idx="208">
                    <c:v>BSBEV</c:v>
                  </c:pt>
                  <c:pt idx="209">
                    <c:v>CHOPS</c:v>
                  </c:pt>
                  <c:pt idx="210">
                    <c:v>DUMON</c:v>
                  </c:pt>
                  <c:pt idx="211">
                    <c:v>ERNSH</c:v>
                  </c:pt>
                  <c:pt idx="212">
                    <c:v>FOLIG</c:v>
                  </c:pt>
                  <c:pt idx="213">
                    <c:v>FRANK</c:v>
                  </c:pt>
                  <c:pt idx="214">
                    <c:v>GODOS</c:v>
                  </c:pt>
                  <c:pt idx="215">
                    <c:v>GREAL</c:v>
                  </c:pt>
                  <c:pt idx="216">
                    <c:v>KOENE</c:v>
                  </c:pt>
                  <c:pt idx="217">
                    <c:v>LILAS</c:v>
                  </c:pt>
                  <c:pt idx="218">
                    <c:v>LINOD</c:v>
                  </c:pt>
                  <c:pt idx="219">
                    <c:v>MEREP</c:v>
                  </c:pt>
                  <c:pt idx="220">
                    <c:v>OCEAN</c:v>
                  </c:pt>
                  <c:pt idx="221">
                    <c:v>PRINI</c:v>
                  </c:pt>
                  <c:pt idx="222">
                    <c:v>QUEEN</c:v>
                  </c:pt>
                  <c:pt idx="223">
                    <c:v>QUICK</c:v>
                  </c:pt>
                  <c:pt idx="224">
                    <c:v>RANCH</c:v>
                  </c:pt>
                  <c:pt idx="225">
                    <c:v>SIMOB</c:v>
                  </c:pt>
                  <c:pt idx="226">
                    <c:v>WANDK</c:v>
                  </c:pt>
                  <c:pt idx="227">
                    <c:v>WHITC</c:v>
                  </c:pt>
                  <c:pt idx="228">
                    <c:v>BERGS</c:v>
                  </c:pt>
                  <c:pt idx="229">
                    <c:v>BSBEV</c:v>
                  </c:pt>
                  <c:pt idx="230">
                    <c:v>CACTU</c:v>
                  </c:pt>
                  <c:pt idx="231">
                    <c:v>EASTC</c:v>
                  </c:pt>
                  <c:pt idx="232">
                    <c:v>ERNSH</c:v>
                  </c:pt>
                  <c:pt idx="233">
                    <c:v>FOLIG</c:v>
                  </c:pt>
                  <c:pt idx="234">
                    <c:v>FRANK</c:v>
                  </c:pt>
                  <c:pt idx="235">
                    <c:v>FURIB</c:v>
                  </c:pt>
                  <c:pt idx="236">
                    <c:v>GREAL</c:v>
                  </c:pt>
                  <c:pt idx="237">
                    <c:v>LINOD</c:v>
                  </c:pt>
                  <c:pt idx="238">
                    <c:v>MEREP</c:v>
                  </c:pt>
                  <c:pt idx="239">
                    <c:v>QUEDE</c:v>
                  </c:pt>
                  <c:pt idx="240">
                    <c:v>VICTE</c:v>
                  </c:pt>
                  <c:pt idx="241">
                    <c:v>WARTH</c:v>
                  </c:pt>
                  <c:pt idx="242">
                    <c:v>WHITC</c:v>
                  </c:pt>
                  <c:pt idx="243">
                    <c:v>FAMIA</c:v>
                  </c:pt>
                  <c:pt idx="244">
                    <c:v>FRANK</c:v>
                  </c:pt>
                  <c:pt idx="245">
                    <c:v>FRANS</c:v>
                  </c:pt>
                  <c:pt idx="246">
                    <c:v>GODOS</c:v>
                  </c:pt>
                  <c:pt idx="247">
                    <c:v>GREAL</c:v>
                  </c:pt>
                  <c:pt idx="248">
                    <c:v>ISLAT</c:v>
                  </c:pt>
                  <c:pt idx="249">
                    <c:v>LINOD</c:v>
                  </c:pt>
                  <c:pt idx="250">
                    <c:v>QUEDE</c:v>
                  </c:pt>
                  <c:pt idx="251">
                    <c:v>QUEEN</c:v>
                  </c:pt>
                  <c:pt idx="252">
                    <c:v>QUICK</c:v>
                  </c:pt>
                  <c:pt idx="253">
                    <c:v>RICAR</c:v>
                  </c:pt>
                  <c:pt idx="254">
                    <c:v>SAVEA</c:v>
                  </c:pt>
                  <c:pt idx="255">
                    <c:v>SUPRD</c:v>
                  </c:pt>
                  <c:pt idx="256">
                    <c:v>TOMSP</c:v>
                  </c:pt>
                  <c:pt idx="257">
                    <c:v>TORTU</c:v>
                  </c:pt>
                  <c:pt idx="258">
                    <c:v>WANDK</c:v>
                  </c:pt>
                  <c:pt idx="259">
                    <c:v>WARTH</c:v>
                  </c:pt>
                  <c:pt idx="260">
                    <c:v>WELLI</c:v>
                  </c:pt>
                  <c:pt idx="261">
                    <c:v>BONAP</c:v>
                  </c:pt>
                  <c:pt idx="262">
                    <c:v>BSBEV</c:v>
                  </c:pt>
                  <c:pt idx="263">
                    <c:v>FOLIG</c:v>
                  </c:pt>
                  <c:pt idx="264">
                    <c:v>GOURL</c:v>
                  </c:pt>
                  <c:pt idx="265">
                    <c:v>OTTIK</c:v>
                  </c:pt>
                  <c:pt idx="266">
                    <c:v>QUICK</c:v>
                  </c:pt>
                  <c:pt idx="267">
                    <c:v>SAVEA</c:v>
                  </c:pt>
                  <c:pt idx="268">
                    <c:v>VAFFE</c:v>
                  </c:pt>
                  <c:pt idx="269">
                    <c:v>VICTE</c:v>
                  </c:pt>
                  <c:pt idx="270">
                    <c:v>ALFKI</c:v>
                  </c:pt>
                  <c:pt idx="271">
                    <c:v>ERNSH</c:v>
                  </c:pt>
                  <c:pt idx="272">
                    <c:v>FOLIG</c:v>
                  </c:pt>
                  <c:pt idx="273">
                    <c:v>HUNGO</c:v>
                  </c:pt>
                  <c:pt idx="274">
                    <c:v>MORGK</c:v>
                  </c:pt>
                  <c:pt idx="275">
                    <c:v>PICCO</c:v>
                  </c:pt>
                  <c:pt idx="276">
                    <c:v>WHITC</c:v>
                  </c:pt>
                </c:lvl>
                <c:lvl>
                  <c:pt idx="0">
                    <c:v>Alice Mutton</c:v>
                  </c:pt>
                  <c:pt idx="1">
                    <c:v>Alice Mutton</c:v>
                  </c:pt>
                  <c:pt idx="2">
                    <c:v>Alice Mutton</c:v>
                  </c:pt>
                  <c:pt idx="3">
                    <c:v>Alice Mutton</c:v>
                  </c:pt>
                  <c:pt idx="4">
                    <c:v>Alice Mutton</c:v>
                  </c:pt>
                  <c:pt idx="5">
                    <c:v>Alice Mutton</c:v>
                  </c:pt>
                  <c:pt idx="6">
                    <c:v>Alice Mutton</c:v>
                  </c:pt>
                  <c:pt idx="7">
                    <c:v>Alice Mutton</c:v>
                  </c:pt>
                  <c:pt idx="8">
                    <c:v>Alice Mutton</c:v>
                  </c:pt>
                  <c:pt idx="9">
                    <c:v>Alice Mutton</c:v>
                  </c:pt>
                  <c:pt idx="10">
                    <c:v>Alice Mutton</c:v>
                  </c:pt>
                  <c:pt idx="11">
                    <c:v>Alice Mutton</c:v>
                  </c:pt>
                  <c:pt idx="12">
                    <c:v>Alice Mutton</c:v>
                  </c:pt>
                  <c:pt idx="13">
                    <c:v>Aniseed Syrup</c:v>
                  </c:pt>
                  <c:pt idx="14">
                    <c:v>Aniseed Syrup</c:v>
                  </c:pt>
                  <c:pt idx="15">
                    <c:v>Aniseed Syrup</c:v>
                  </c:pt>
                  <c:pt idx="16">
                    <c:v>Aniseed Syrup</c:v>
                  </c:pt>
                  <c:pt idx="17">
                    <c:v>Aniseed Syrup</c:v>
                  </c:pt>
                  <c:pt idx="18">
                    <c:v>Aniseed Syrup</c:v>
                  </c:pt>
                  <c:pt idx="19">
                    <c:v>Boston Crab Meat</c:v>
                  </c:pt>
                  <c:pt idx="20">
                    <c:v>Boston Crab Meat</c:v>
                  </c:pt>
                  <c:pt idx="21">
                    <c:v>Boston Crab Meat</c:v>
                  </c:pt>
                  <c:pt idx="22">
                    <c:v>Boston Crab Meat</c:v>
                  </c:pt>
                  <c:pt idx="23">
                    <c:v>Boston Crab Meat</c:v>
                  </c:pt>
                  <c:pt idx="24">
                    <c:v>Boston Crab Meat</c:v>
                  </c:pt>
                  <c:pt idx="25">
                    <c:v>Boston Crab Meat</c:v>
                  </c:pt>
                  <c:pt idx="26">
                    <c:v>Boston Crab Meat</c:v>
                  </c:pt>
                  <c:pt idx="27">
                    <c:v>Boston Crab Meat</c:v>
                  </c:pt>
                  <c:pt idx="28">
                    <c:v>Boston Crab Meat</c:v>
                  </c:pt>
                  <c:pt idx="29">
                    <c:v>Boston Crab Meat</c:v>
                  </c:pt>
                  <c:pt idx="30">
                    <c:v>Boston Crab Meat</c:v>
                  </c:pt>
                  <c:pt idx="31">
                    <c:v>Boston Crab Meat</c:v>
                  </c:pt>
                  <c:pt idx="32">
                    <c:v>Boston Crab Meat</c:v>
                  </c:pt>
                  <c:pt idx="33">
                    <c:v>Boston Crab Meat</c:v>
                  </c:pt>
                  <c:pt idx="34">
                    <c:v>Boston Crab Meat</c:v>
                  </c:pt>
                  <c:pt idx="35">
                    <c:v>Boston Crab Meat</c:v>
                  </c:pt>
                  <c:pt idx="36">
                    <c:v>Boston Crab Meat</c:v>
                  </c:pt>
                  <c:pt idx="37">
                    <c:v>Camembert Pierrot</c:v>
                  </c:pt>
                  <c:pt idx="38">
                    <c:v>Camembert Pierrot</c:v>
                  </c:pt>
                  <c:pt idx="39">
                    <c:v>Camembert Pierrot</c:v>
                  </c:pt>
                  <c:pt idx="40">
                    <c:v>Camembert Pierrot</c:v>
                  </c:pt>
                  <c:pt idx="41">
                    <c:v>Camembert Pierrot</c:v>
                  </c:pt>
                  <c:pt idx="42">
                    <c:v>Camembert Pierrot</c:v>
                  </c:pt>
                  <c:pt idx="43">
                    <c:v>Camembert Pierrot</c:v>
                  </c:pt>
                  <c:pt idx="44">
                    <c:v>Camembert Pierrot</c:v>
                  </c:pt>
                  <c:pt idx="45">
                    <c:v>Camembert Pierrot</c:v>
                  </c:pt>
                  <c:pt idx="46">
                    <c:v>Camembert Pierrot</c:v>
                  </c:pt>
                  <c:pt idx="47">
                    <c:v>Camembert Pierrot</c:v>
                  </c:pt>
                  <c:pt idx="48">
                    <c:v>Camembert Pierrot</c:v>
                  </c:pt>
                  <c:pt idx="49">
                    <c:v>Camembert Pierrot</c:v>
                  </c:pt>
                  <c:pt idx="50">
                    <c:v>Camembert Pierrot</c:v>
                  </c:pt>
                  <c:pt idx="51">
                    <c:v>Camembert Pierrot</c:v>
                  </c:pt>
                  <c:pt idx="52">
                    <c:v>Camembert Pierrot</c:v>
                  </c:pt>
                  <c:pt idx="53">
                    <c:v>Camembert Pierrot</c:v>
                  </c:pt>
                  <c:pt idx="54">
                    <c:v>Camembert Pierrot</c:v>
                  </c:pt>
                  <c:pt idx="55">
                    <c:v>Camembert Pierrot</c:v>
                  </c:pt>
                  <c:pt idx="56">
                    <c:v>Chef Anton's Cajun Seasoning</c:v>
                  </c:pt>
                  <c:pt idx="57">
                    <c:v>Chef Anton's Cajun Seasoning</c:v>
                  </c:pt>
                  <c:pt idx="58">
                    <c:v>Chef Anton's Cajun Seasoning</c:v>
                  </c:pt>
                  <c:pt idx="59">
                    <c:v>Chef Anton's Cajun Seasoning</c:v>
                  </c:pt>
                  <c:pt idx="60">
                    <c:v>Chef Anton's Cajun Seasoning</c:v>
                  </c:pt>
                  <c:pt idx="61">
                    <c:v>Chef Anton's Cajun Seasoning</c:v>
                  </c:pt>
                  <c:pt idx="62">
                    <c:v>Chef Anton's Cajun Seasoning</c:v>
                  </c:pt>
                  <c:pt idx="63">
                    <c:v>Chef Anton's Cajun Seasoning</c:v>
                  </c:pt>
                  <c:pt idx="64">
                    <c:v>Chef Anton's Cajun Seasoning</c:v>
                  </c:pt>
                  <c:pt idx="65">
                    <c:v>Chef Anton's Cajun Seasoning</c:v>
                  </c:pt>
                  <c:pt idx="66">
                    <c:v>Chef Anton's Gumbo Mix</c:v>
                  </c:pt>
                  <c:pt idx="67">
                    <c:v>Chef Anton's Gumbo Mix</c:v>
                  </c:pt>
                  <c:pt idx="68">
                    <c:v>Filo Mix</c:v>
                  </c:pt>
                  <c:pt idx="69">
                    <c:v>Filo Mix</c:v>
                  </c:pt>
                  <c:pt idx="70">
                    <c:v>Filo Mix</c:v>
                  </c:pt>
                  <c:pt idx="71">
                    <c:v>Filo Mix</c:v>
                  </c:pt>
                  <c:pt idx="72">
                    <c:v>Filo Mix</c:v>
                  </c:pt>
                  <c:pt idx="73">
                    <c:v>Filo Mix</c:v>
                  </c:pt>
                  <c:pt idx="74">
                    <c:v>Filo Mix</c:v>
                  </c:pt>
                  <c:pt idx="75">
                    <c:v>Filo Mix</c:v>
                  </c:pt>
                  <c:pt idx="76">
                    <c:v>Filo Mix</c:v>
                  </c:pt>
                  <c:pt idx="77">
                    <c:v>Filo Mix</c:v>
                  </c:pt>
                  <c:pt idx="78">
                    <c:v>Filo Mix</c:v>
                  </c:pt>
                  <c:pt idx="79">
                    <c:v>Filo Mix</c:v>
                  </c:pt>
                  <c:pt idx="80">
                    <c:v>Filo Mix</c:v>
                  </c:pt>
                  <c:pt idx="81">
                    <c:v>Filo Mix</c:v>
                  </c:pt>
                  <c:pt idx="82">
                    <c:v>Gorgonzola Telino</c:v>
                  </c:pt>
                  <c:pt idx="83">
                    <c:v>Gorgonzola Telino</c:v>
                  </c:pt>
                  <c:pt idx="84">
                    <c:v>Gorgonzola Telino</c:v>
                  </c:pt>
                  <c:pt idx="85">
                    <c:v>Gorgonzola Telino</c:v>
                  </c:pt>
                  <c:pt idx="86">
                    <c:v>Gorgonzola Telino</c:v>
                  </c:pt>
                  <c:pt idx="87">
                    <c:v>Gorgonzola Telino</c:v>
                  </c:pt>
                  <c:pt idx="88">
                    <c:v>Gorgonzola Telino</c:v>
                  </c:pt>
                  <c:pt idx="89">
                    <c:v>Gorgonzola Telino</c:v>
                  </c:pt>
                  <c:pt idx="90">
                    <c:v>Gorgonzola Telino</c:v>
                  </c:pt>
                  <c:pt idx="91">
                    <c:v>Gorgonzola Telino</c:v>
                  </c:pt>
                  <c:pt idx="92">
                    <c:v>Gorgonzola Telino</c:v>
                  </c:pt>
                  <c:pt idx="93">
                    <c:v>Gorgonzola Telino</c:v>
                  </c:pt>
                  <c:pt idx="94">
                    <c:v>Gorgonzola Telino</c:v>
                  </c:pt>
                  <c:pt idx="95">
                    <c:v>Gorgonzola Telino</c:v>
                  </c:pt>
                  <c:pt idx="96">
                    <c:v>Gorgonzola Telino</c:v>
                  </c:pt>
                  <c:pt idx="97">
                    <c:v>Gorgonzola Telino</c:v>
                  </c:pt>
                  <c:pt idx="98">
                    <c:v>Gorgonzola Telino</c:v>
                  </c:pt>
                  <c:pt idx="99">
                    <c:v>Gorgonzola Telino</c:v>
                  </c:pt>
                  <c:pt idx="100">
                    <c:v>Gorgonzola Telino</c:v>
                  </c:pt>
                  <c:pt idx="101">
                    <c:v>Gorgonzola Telino</c:v>
                  </c:pt>
                  <c:pt idx="102">
                    <c:v>Gorgonzola Telino</c:v>
                  </c:pt>
                  <c:pt idx="103">
                    <c:v>Gorgonzola Telino</c:v>
                  </c:pt>
                  <c:pt idx="104">
                    <c:v>Gorgonzola Telino</c:v>
                  </c:pt>
                  <c:pt idx="105">
                    <c:v>Gorgonzola Telino</c:v>
                  </c:pt>
                  <c:pt idx="106">
                    <c:v>Grandma's Boysenberry Spread</c:v>
                  </c:pt>
                  <c:pt idx="107">
                    <c:v>Grandma's Boysenberry Spread</c:v>
                  </c:pt>
                  <c:pt idx="108">
                    <c:v>Ipoh Coffee</c:v>
                  </c:pt>
                  <c:pt idx="109">
                    <c:v>Ipoh Coffee</c:v>
                  </c:pt>
                  <c:pt idx="110">
                    <c:v>Ipoh Coffee</c:v>
                  </c:pt>
                  <c:pt idx="111">
                    <c:v>Ipoh Coffee</c:v>
                  </c:pt>
                  <c:pt idx="112">
                    <c:v>Ipoh Coffee</c:v>
                  </c:pt>
                  <c:pt idx="113">
                    <c:v>Ipoh Coffee</c:v>
                  </c:pt>
                  <c:pt idx="114">
                    <c:v>Ipoh Coffee</c:v>
                  </c:pt>
                  <c:pt idx="115">
                    <c:v>Ipoh Coffee</c:v>
                  </c:pt>
                  <c:pt idx="116">
                    <c:v>Ipoh Coffee</c:v>
                  </c:pt>
                  <c:pt idx="117">
                    <c:v>Ipoh Coffee</c:v>
                  </c:pt>
                  <c:pt idx="118">
                    <c:v>Ipoh Coffee</c:v>
                  </c:pt>
                  <c:pt idx="119">
                    <c:v>Jack's New England Clam Chowder</c:v>
                  </c:pt>
                  <c:pt idx="120">
                    <c:v>Jack's New England Clam Chowder</c:v>
                  </c:pt>
                  <c:pt idx="121">
                    <c:v>Jack's New England Clam Chowder</c:v>
                  </c:pt>
                  <c:pt idx="122">
                    <c:v>Jack's New England Clam Chowder</c:v>
                  </c:pt>
                  <c:pt idx="123">
                    <c:v>Jack's New England Clam Chowder</c:v>
                  </c:pt>
                  <c:pt idx="124">
                    <c:v>Jack's New England Clam Chowder</c:v>
                  </c:pt>
                  <c:pt idx="125">
                    <c:v>Jack's New England Clam Chowder</c:v>
                  </c:pt>
                  <c:pt idx="126">
                    <c:v>Jack's New England Clam Chowder</c:v>
                  </c:pt>
                  <c:pt idx="127">
                    <c:v>Jack's New England Clam Chowder</c:v>
                  </c:pt>
                  <c:pt idx="128">
                    <c:v>Jack's New England Clam Chowder</c:v>
                  </c:pt>
                  <c:pt idx="129">
                    <c:v>Jack's New England Clam Chowder</c:v>
                  </c:pt>
                  <c:pt idx="130">
                    <c:v>Jack's New England Clam Chowder</c:v>
                  </c:pt>
                  <c:pt idx="131">
                    <c:v>Jack's New England Clam Chowder</c:v>
                  </c:pt>
                  <c:pt idx="132">
                    <c:v>Jack's New England Clam Chowder</c:v>
                  </c:pt>
                  <c:pt idx="133">
                    <c:v>Jack's New England Clam Chowder</c:v>
                  </c:pt>
                  <c:pt idx="134">
                    <c:v>Jack's New England Clam Chowder</c:v>
                  </c:pt>
                  <c:pt idx="135">
                    <c:v>Jack's New England Clam Chowder</c:v>
                  </c:pt>
                  <c:pt idx="136">
                    <c:v>Jack's New England Clam Chowder</c:v>
                  </c:pt>
                  <c:pt idx="137">
                    <c:v>Laughing Lumberjack Lager</c:v>
                  </c:pt>
                  <c:pt idx="138">
                    <c:v>Laughing Lumberjack Lager</c:v>
                  </c:pt>
                  <c:pt idx="139">
                    <c:v>Laughing Lumberjack Lager</c:v>
                  </c:pt>
                  <c:pt idx="140">
                    <c:v>Laughing Lumberjack Lager</c:v>
                  </c:pt>
                  <c:pt idx="141">
                    <c:v>Longlife Tofu</c:v>
                  </c:pt>
                  <c:pt idx="142">
                    <c:v>Longlife Tofu</c:v>
                  </c:pt>
                  <c:pt idx="143">
                    <c:v>Longlife Tofu</c:v>
                  </c:pt>
                  <c:pt idx="144">
                    <c:v>Longlife Tofu</c:v>
                  </c:pt>
                  <c:pt idx="145">
                    <c:v>Longlife Tofu</c:v>
                  </c:pt>
                  <c:pt idx="146">
                    <c:v>Longlife Tofu</c:v>
                  </c:pt>
                  <c:pt idx="147">
                    <c:v>Louisiana Fiery Hot Pepper Sauce</c:v>
                  </c:pt>
                  <c:pt idx="148">
                    <c:v>Louisiana Fiery Hot Pepper Sauce</c:v>
                  </c:pt>
                  <c:pt idx="149">
                    <c:v>Louisiana Fiery Hot Pepper Sauce</c:v>
                  </c:pt>
                  <c:pt idx="150">
                    <c:v>Louisiana Fiery Hot Pepper Sauce</c:v>
                  </c:pt>
                  <c:pt idx="151">
                    <c:v>Louisiana Fiery Hot Pepper Sauce</c:v>
                  </c:pt>
                  <c:pt idx="152">
                    <c:v>Louisiana Fiery Hot Pepper Sauce</c:v>
                  </c:pt>
                  <c:pt idx="153">
                    <c:v>Louisiana Fiery Hot Pepper Sauce</c:v>
                  </c:pt>
                  <c:pt idx="154">
                    <c:v>Louisiana Fiery Hot Pepper Sauce</c:v>
                  </c:pt>
                  <c:pt idx="155">
                    <c:v>Louisiana Fiery Hot Pepper Sauce</c:v>
                  </c:pt>
                  <c:pt idx="156">
                    <c:v>Louisiana Fiery Hot Pepper Sauce</c:v>
                  </c:pt>
                  <c:pt idx="157">
                    <c:v>Louisiana Fiery Hot Pepper Sauce</c:v>
                  </c:pt>
                  <c:pt idx="158">
                    <c:v>Louisiana Fiery Hot Pepper Sauce</c:v>
                  </c:pt>
                  <c:pt idx="159">
                    <c:v>Louisiana Fiery Hot Pepper Sauce</c:v>
                  </c:pt>
                  <c:pt idx="160">
                    <c:v>Louisiana Fiery Hot Pepper Sauce</c:v>
                  </c:pt>
                  <c:pt idx="161">
                    <c:v>Louisiana Fiery Hot Pepper Sauce</c:v>
                  </c:pt>
                  <c:pt idx="162">
                    <c:v>Louisiana Hot Spiced Okra</c:v>
                  </c:pt>
                  <c:pt idx="163">
                    <c:v>Louisiana Hot Spiced Okra</c:v>
                  </c:pt>
                  <c:pt idx="164">
                    <c:v>Louisiana Hot Spiced Okra</c:v>
                  </c:pt>
                  <c:pt idx="165">
                    <c:v>Louisiana Hot Spiced Okra</c:v>
                  </c:pt>
                  <c:pt idx="166">
                    <c:v>Louisiana Hot Spiced Okra</c:v>
                  </c:pt>
                  <c:pt idx="167">
                    <c:v>Louisiana Hot Spiced Okra</c:v>
                  </c:pt>
                  <c:pt idx="168">
                    <c:v>Mozzarella di Giovanni</c:v>
                  </c:pt>
                  <c:pt idx="169">
                    <c:v>Mozzarella di Giovanni</c:v>
                  </c:pt>
                  <c:pt idx="170">
                    <c:v>Mozzarella di Giovanni</c:v>
                  </c:pt>
                  <c:pt idx="171">
                    <c:v>Mozzarella di Giovanni</c:v>
                  </c:pt>
                  <c:pt idx="172">
                    <c:v>Mozzarella di Giovanni</c:v>
                  </c:pt>
                  <c:pt idx="173">
                    <c:v>Mozzarella di Giovanni</c:v>
                  </c:pt>
                  <c:pt idx="174">
                    <c:v>Mozzarella di Giovanni</c:v>
                  </c:pt>
                  <c:pt idx="175">
                    <c:v>Mozzarella di Giovanni</c:v>
                  </c:pt>
                  <c:pt idx="176">
                    <c:v>Mozzarella di Giovanni</c:v>
                  </c:pt>
                  <c:pt idx="177">
                    <c:v>Mozzarella di Giovanni</c:v>
                  </c:pt>
                  <c:pt idx="178">
                    <c:v>Mozzarella di Giovanni</c:v>
                  </c:pt>
                  <c:pt idx="179">
                    <c:v>Mozzarella di Giovanni</c:v>
                  </c:pt>
                  <c:pt idx="180">
                    <c:v>Mozzarella di Giovanni</c:v>
                  </c:pt>
                  <c:pt idx="181">
                    <c:v>Mozzarella di Giovanni</c:v>
                  </c:pt>
                  <c:pt idx="182">
                    <c:v>Mozzarella di Giovanni</c:v>
                  </c:pt>
                  <c:pt idx="183">
                    <c:v>Mozzarella di Giovanni</c:v>
                  </c:pt>
                  <c:pt idx="184">
                    <c:v>Northwoods Cranberry Sauce</c:v>
                  </c:pt>
                  <c:pt idx="185">
                    <c:v>Northwoods Cranberry Sauce</c:v>
                  </c:pt>
                  <c:pt idx="186">
                    <c:v>Northwoods Cranberry Sauce</c:v>
                  </c:pt>
                  <c:pt idx="187">
                    <c:v>Northwoods Cranberry Sauce</c:v>
                  </c:pt>
                  <c:pt idx="188">
                    <c:v>Northwoods Cranberry Sauce</c:v>
                  </c:pt>
                  <c:pt idx="189">
                    <c:v>Ravioli Angelo</c:v>
                  </c:pt>
                  <c:pt idx="190">
                    <c:v>Ravioli Angelo</c:v>
                  </c:pt>
                  <c:pt idx="191">
                    <c:v>Ravioli Angelo</c:v>
                  </c:pt>
                  <c:pt idx="192">
                    <c:v>Ravioli Angelo</c:v>
                  </c:pt>
                  <c:pt idx="193">
                    <c:v>Ravioli Angelo</c:v>
                  </c:pt>
                  <c:pt idx="194">
                    <c:v>Ravioli Angelo</c:v>
                  </c:pt>
                  <c:pt idx="195">
                    <c:v>Ravioli Angelo</c:v>
                  </c:pt>
                  <c:pt idx="196">
                    <c:v>Ravioli Angelo</c:v>
                  </c:pt>
                  <c:pt idx="197">
                    <c:v>Sasquatch Ale</c:v>
                  </c:pt>
                  <c:pt idx="198">
                    <c:v>Sasquatch Ale</c:v>
                  </c:pt>
                  <c:pt idx="199">
                    <c:v>Sasquatch Ale</c:v>
                  </c:pt>
                  <c:pt idx="200">
                    <c:v>Sasquatch Ale</c:v>
                  </c:pt>
                  <c:pt idx="201">
                    <c:v>Sasquatch Ale</c:v>
                  </c:pt>
                  <c:pt idx="202">
                    <c:v>Sasquatch Ale</c:v>
                  </c:pt>
                  <c:pt idx="203">
                    <c:v>Sir Rodney's Marmalade</c:v>
                  </c:pt>
                  <c:pt idx="204">
                    <c:v>Sir Rodney's Marmalade</c:v>
                  </c:pt>
                  <c:pt idx="205">
                    <c:v>Sir Rodney's Marmalade</c:v>
                  </c:pt>
                  <c:pt idx="206">
                    <c:v>Sir Rodney's Marmalade</c:v>
                  </c:pt>
                  <c:pt idx="207">
                    <c:v>Sir Rodney's Scones</c:v>
                  </c:pt>
                  <c:pt idx="208">
                    <c:v>Sir Rodney's Scones</c:v>
                  </c:pt>
                  <c:pt idx="209">
                    <c:v>Sir Rodney's Scones</c:v>
                  </c:pt>
                  <c:pt idx="210">
                    <c:v>Sir Rodney's Scones</c:v>
                  </c:pt>
                  <c:pt idx="211">
                    <c:v>Sir Rodney's Scones</c:v>
                  </c:pt>
                  <c:pt idx="212">
                    <c:v>Sir Rodney's Scones</c:v>
                  </c:pt>
                  <c:pt idx="213">
                    <c:v>Sir Rodney's Scones</c:v>
                  </c:pt>
                  <c:pt idx="214">
                    <c:v>Sir Rodney's Scones</c:v>
                  </c:pt>
                  <c:pt idx="215">
                    <c:v>Sir Rodney's Scones</c:v>
                  </c:pt>
                  <c:pt idx="216">
                    <c:v>Sir Rodney's Scones</c:v>
                  </c:pt>
                  <c:pt idx="217">
                    <c:v>Sir Rodney's Scones</c:v>
                  </c:pt>
                  <c:pt idx="218">
                    <c:v>Sir Rodney's Scones</c:v>
                  </c:pt>
                  <c:pt idx="219">
                    <c:v>Sir Rodney's Scones</c:v>
                  </c:pt>
                  <c:pt idx="220">
                    <c:v>Sir Rodney's Scones</c:v>
                  </c:pt>
                  <c:pt idx="221">
                    <c:v>Sir Rodney's Scones</c:v>
                  </c:pt>
                  <c:pt idx="222">
                    <c:v>Sir Rodney's Scones</c:v>
                  </c:pt>
                  <c:pt idx="223">
                    <c:v>Sir Rodney's Scones</c:v>
                  </c:pt>
                  <c:pt idx="224">
                    <c:v>Sir Rodney's Scones</c:v>
                  </c:pt>
                  <c:pt idx="225">
                    <c:v>Sir Rodney's Scones</c:v>
                  </c:pt>
                  <c:pt idx="226">
                    <c:v>Sir Rodney's Scones</c:v>
                  </c:pt>
                  <c:pt idx="227">
                    <c:v>Sir Rodney's Scones</c:v>
                  </c:pt>
                  <c:pt idx="228">
                    <c:v>Steeleye Stout</c:v>
                  </c:pt>
                  <c:pt idx="229">
                    <c:v>Steeleye Stout</c:v>
                  </c:pt>
                  <c:pt idx="230">
                    <c:v>Steeleye Stout</c:v>
                  </c:pt>
                  <c:pt idx="231">
                    <c:v>Steeleye Stout</c:v>
                  </c:pt>
                  <c:pt idx="232">
                    <c:v>Steeleye Stout</c:v>
                  </c:pt>
                  <c:pt idx="233">
                    <c:v>Steeleye Stout</c:v>
                  </c:pt>
                  <c:pt idx="234">
                    <c:v>Steeleye Stout</c:v>
                  </c:pt>
                  <c:pt idx="235">
                    <c:v>Steeleye Stout</c:v>
                  </c:pt>
                  <c:pt idx="236">
                    <c:v>Steeleye Stout</c:v>
                  </c:pt>
                  <c:pt idx="237">
                    <c:v>Steeleye Stout</c:v>
                  </c:pt>
                  <c:pt idx="238">
                    <c:v>Steeleye Stout</c:v>
                  </c:pt>
                  <c:pt idx="239">
                    <c:v>Steeleye Stout</c:v>
                  </c:pt>
                  <c:pt idx="240">
                    <c:v>Steeleye Stout</c:v>
                  </c:pt>
                  <c:pt idx="241">
                    <c:v>Steeleye Stout</c:v>
                  </c:pt>
                  <c:pt idx="242">
                    <c:v>Steeleye Stout</c:v>
                  </c:pt>
                  <c:pt idx="243">
                    <c:v>Teatime Chocolate Biscuits</c:v>
                  </c:pt>
                  <c:pt idx="244">
                    <c:v>Teatime Chocolate Biscuits</c:v>
                  </c:pt>
                  <c:pt idx="245">
                    <c:v>Teatime Chocolate Biscuits</c:v>
                  </c:pt>
                  <c:pt idx="246">
                    <c:v>Teatime Chocolate Biscuits</c:v>
                  </c:pt>
                  <c:pt idx="247">
                    <c:v>Teatime Chocolate Biscuits</c:v>
                  </c:pt>
                  <c:pt idx="248">
                    <c:v>Teatime Chocolate Biscuits</c:v>
                  </c:pt>
                  <c:pt idx="249">
                    <c:v>Teatime Chocolate Biscuits</c:v>
                  </c:pt>
                  <c:pt idx="250">
                    <c:v>Teatime Chocolate Biscuits</c:v>
                  </c:pt>
                  <c:pt idx="251">
                    <c:v>Teatime Chocolate Biscuits</c:v>
                  </c:pt>
                  <c:pt idx="252">
                    <c:v>Teatime Chocolate Biscuits</c:v>
                  </c:pt>
                  <c:pt idx="253">
                    <c:v>Teatime Chocolate Biscuits</c:v>
                  </c:pt>
                  <c:pt idx="254">
                    <c:v>Teatime Chocolate Biscuits</c:v>
                  </c:pt>
                  <c:pt idx="255">
                    <c:v>Teatime Chocolate Biscuits</c:v>
                  </c:pt>
                  <c:pt idx="256">
                    <c:v>Teatime Chocolate Biscuits</c:v>
                  </c:pt>
                  <c:pt idx="257">
                    <c:v>Teatime Chocolate Biscuits</c:v>
                  </c:pt>
                  <c:pt idx="258">
                    <c:v>Teatime Chocolate Biscuits</c:v>
                  </c:pt>
                  <c:pt idx="259">
                    <c:v>Teatime Chocolate Biscuits</c:v>
                  </c:pt>
                  <c:pt idx="260">
                    <c:v>Teatime Chocolate Biscuits</c:v>
                  </c:pt>
                  <c:pt idx="261">
                    <c:v>Uncle Bob's Organic Dried Pears</c:v>
                  </c:pt>
                  <c:pt idx="262">
                    <c:v>Uncle Bob's Organic Dried Pears</c:v>
                  </c:pt>
                  <c:pt idx="263">
                    <c:v>Uncle Bob's Organic Dried Pears</c:v>
                  </c:pt>
                  <c:pt idx="264">
                    <c:v>Uncle Bob's Organic Dried Pears</c:v>
                  </c:pt>
                  <c:pt idx="265">
                    <c:v>Uncle Bob's Organic Dried Pears</c:v>
                  </c:pt>
                  <c:pt idx="266">
                    <c:v>Uncle Bob's Organic Dried Pears</c:v>
                  </c:pt>
                  <c:pt idx="267">
                    <c:v>Uncle Bob's Organic Dried Pears</c:v>
                  </c:pt>
                  <c:pt idx="268">
                    <c:v>Uncle Bob's Organic Dried Pears</c:v>
                  </c:pt>
                  <c:pt idx="269">
                    <c:v>Uncle Bob's Organic Dried Pears</c:v>
                  </c:pt>
                  <c:pt idx="270">
                    <c:v>Veggie-spread</c:v>
                  </c:pt>
                  <c:pt idx="271">
                    <c:v>Veggie-spread</c:v>
                  </c:pt>
                  <c:pt idx="272">
                    <c:v>Veggie-spread</c:v>
                  </c:pt>
                  <c:pt idx="273">
                    <c:v>Veggie-spread</c:v>
                  </c:pt>
                  <c:pt idx="274">
                    <c:v>Veggie-spread</c:v>
                  </c:pt>
                  <c:pt idx="275">
                    <c:v>Veggie-spread</c:v>
                  </c:pt>
                  <c:pt idx="276">
                    <c:v>Veggie-spread</c:v>
                  </c:pt>
                </c:lvl>
              </c:multiLvlStrCache>
            </c:multiLvlStrRef>
          </c:cat>
          <c:val>
            <c:numRef>
              <c:f>Sheet13!$D$2:$D$278</c:f>
              <c:numCache>
                <c:formatCode>_([$$-409]* #,##0.00_);_([$$-409]* \(#,##0.00\);_([$$-409]* "-"??_);_(@_)</c:formatCode>
                <c:ptCount val="277"/>
                <c:pt idx="0">
                  <c:v>702</c:v>
                </c:pt>
                <c:pt idx="1">
                  <c:v>0</c:v>
                </c:pt>
                <c:pt idx="2">
                  <c:v>0</c:v>
                </c:pt>
                <c:pt idx="3">
                  <c:v>0</c:v>
                </c:pt>
                <c:pt idx="4">
                  <c:v>0</c:v>
                </c:pt>
                <c:pt idx="5">
                  <c:v>280.8</c:v>
                </c:pt>
                <c:pt idx="6">
                  <c:v>0</c:v>
                </c:pt>
                <c:pt idx="7">
                  <c:v>1560</c:v>
                </c:pt>
                <c:pt idx="8">
                  <c:v>592.79999999999995</c:v>
                </c:pt>
                <c:pt idx="9">
                  <c:v>0</c:v>
                </c:pt>
                <c:pt idx="10">
                  <c:v>0</c:v>
                </c:pt>
                <c:pt idx="11">
                  <c:v>877.5</c:v>
                </c:pt>
                <c:pt idx="12">
                  <c:v>0</c:v>
                </c:pt>
                <c:pt idx="13">
                  <c:v>0</c:v>
                </c:pt>
                <c:pt idx="14">
                  <c:v>0</c:v>
                </c:pt>
                <c:pt idx="15">
                  <c:v>0</c:v>
                </c:pt>
                <c:pt idx="16">
                  <c:v>0</c:v>
                </c:pt>
                <c:pt idx="17">
                  <c:v>600</c:v>
                </c:pt>
                <c:pt idx="18">
                  <c:v>0</c:v>
                </c:pt>
                <c:pt idx="19">
                  <c:v>165.6</c:v>
                </c:pt>
                <c:pt idx="20">
                  <c:v>920</c:v>
                </c:pt>
                <c:pt idx="21">
                  <c:v>248.4</c:v>
                </c:pt>
                <c:pt idx="22">
                  <c:v>0</c:v>
                </c:pt>
                <c:pt idx="23">
                  <c:v>0</c:v>
                </c:pt>
                <c:pt idx="24">
                  <c:v>0</c:v>
                </c:pt>
                <c:pt idx="25">
                  <c:v>92</c:v>
                </c:pt>
                <c:pt idx="26">
                  <c:v>0</c:v>
                </c:pt>
                <c:pt idx="27">
                  <c:v>515.20000000000005</c:v>
                </c:pt>
                <c:pt idx="28">
                  <c:v>0</c:v>
                </c:pt>
                <c:pt idx="29">
                  <c:v>0</c:v>
                </c:pt>
                <c:pt idx="30">
                  <c:v>0</c:v>
                </c:pt>
                <c:pt idx="31">
                  <c:v>0</c:v>
                </c:pt>
                <c:pt idx="32">
                  <c:v>0</c:v>
                </c:pt>
                <c:pt idx="33">
                  <c:v>0</c:v>
                </c:pt>
                <c:pt idx="34">
                  <c:v>0</c:v>
                </c:pt>
                <c:pt idx="35">
                  <c:v>36.799999999999997</c:v>
                </c:pt>
                <c:pt idx="36">
                  <c:v>0</c:v>
                </c:pt>
                <c:pt idx="37">
                  <c:v>0</c:v>
                </c:pt>
                <c:pt idx="38">
                  <c:v>0</c:v>
                </c:pt>
                <c:pt idx="39">
                  <c:v>0</c:v>
                </c:pt>
                <c:pt idx="40">
                  <c:v>0</c:v>
                </c:pt>
                <c:pt idx="41">
                  <c:v>323</c:v>
                </c:pt>
                <c:pt idx="42">
                  <c:v>346.8</c:v>
                </c:pt>
                <c:pt idx="43">
                  <c:v>0</c:v>
                </c:pt>
                <c:pt idx="44">
                  <c:v>0</c:v>
                </c:pt>
                <c:pt idx="45">
                  <c:v>0</c:v>
                </c:pt>
                <c:pt idx="46">
                  <c:v>892.5</c:v>
                </c:pt>
                <c:pt idx="47">
                  <c:v>0</c:v>
                </c:pt>
                <c:pt idx="48">
                  <c:v>0</c:v>
                </c:pt>
                <c:pt idx="49">
                  <c:v>0</c:v>
                </c:pt>
                <c:pt idx="50">
                  <c:v>2427.6</c:v>
                </c:pt>
                <c:pt idx="51">
                  <c:v>0</c:v>
                </c:pt>
                <c:pt idx="52">
                  <c:v>0</c:v>
                </c:pt>
                <c:pt idx="53">
                  <c:v>0</c:v>
                </c:pt>
                <c:pt idx="54">
                  <c:v>693.6</c:v>
                </c:pt>
                <c:pt idx="55">
                  <c:v>0</c:v>
                </c:pt>
                <c:pt idx="56">
                  <c:v>0</c:v>
                </c:pt>
                <c:pt idx="57">
                  <c:v>935</c:v>
                </c:pt>
                <c:pt idx="58">
                  <c:v>0</c:v>
                </c:pt>
                <c:pt idx="59">
                  <c:v>1045</c:v>
                </c:pt>
                <c:pt idx="60">
                  <c:v>0</c:v>
                </c:pt>
                <c:pt idx="61">
                  <c:v>0</c:v>
                </c:pt>
                <c:pt idx="62">
                  <c:v>0</c:v>
                </c:pt>
                <c:pt idx="63">
                  <c:v>990</c:v>
                </c:pt>
                <c:pt idx="64">
                  <c:v>0</c:v>
                </c:pt>
                <c:pt idx="65">
                  <c:v>0</c:v>
                </c:pt>
                <c:pt idx="66">
                  <c:v>0</c:v>
                </c:pt>
                <c:pt idx="67">
                  <c:v>0</c:v>
                </c:pt>
                <c:pt idx="68">
                  <c:v>210</c:v>
                </c:pt>
                <c:pt idx="69">
                  <c:v>0</c:v>
                </c:pt>
                <c:pt idx="70">
                  <c:v>0</c:v>
                </c:pt>
                <c:pt idx="71">
                  <c:v>0</c:v>
                </c:pt>
                <c:pt idx="72">
                  <c:v>0</c:v>
                </c:pt>
                <c:pt idx="73">
                  <c:v>0</c:v>
                </c:pt>
                <c:pt idx="74">
                  <c:v>42</c:v>
                </c:pt>
                <c:pt idx="75">
                  <c:v>0</c:v>
                </c:pt>
                <c:pt idx="76">
                  <c:v>0</c:v>
                </c:pt>
                <c:pt idx="77">
                  <c:v>490</c:v>
                </c:pt>
                <c:pt idx="78">
                  <c:v>0</c:v>
                </c:pt>
                <c:pt idx="79">
                  <c:v>0</c:v>
                </c:pt>
                <c:pt idx="80">
                  <c:v>0</c:v>
                </c:pt>
                <c:pt idx="81">
                  <c:v>0</c:v>
                </c:pt>
                <c:pt idx="82">
                  <c:v>0</c:v>
                </c:pt>
                <c:pt idx="83">
                  <c:v>593.75</c:v>
                </c:pt>
                <c:pt idx="84">
                  <c:v>0</c:v>
                </c:pt>
                <c:pt idx="85">
                  <c:v>0</c:v>
                </c:pt>
                <c:pt idx="86">
                  <c:v>0</c:v>
                </c:pt>
                <c:pt idx="87">
                  <c:v>0</c:v>
                </c:pt>
                <c:pt idx="88">
                  <c:v>0</c:v>
                </c:pt>
                <c:pt idx="89">
                  <c:v>0</c:v>
                </c:pt>
                <c:pt idx="90">
                  <c:v>0</c:v>
                </c:pt>
                <c:pt idx="91">
                  <c:v>600</c:v>
                </c:pt>
                <c:pt idx="92">
                  <c:v>250</c:v>
                </c:pt>
                <c:pt idx="93">
                  <c:v>0</c:v>
                </c:pt>
                <c:pt idx="94">
                  <c:v>0</c:v>
                </c:pt>
                <c:pt idx="95">
                  <c:v>0</c:v>
                </c:pt>
                <c:pt idx="96">
                  <c:v>584.37</c:v>
                </c:pt>
                <c:pt idx="97">
                  <c:v>421.25</c:v>
                </c:pt>
                <c:pt idx="98">
                  <c:v>375</c:v>
                </c:pt>
                <c:pt idx="99">
                  <c:v>0</c:v>
                </c:pt>
                <c:pt idx="100">
                  <c:v>0</c:v>
                </c:pt>
                <c:pt idx="101">
                  <c:v>0</c:v>
                </c:pt>
                <c:pt idx="102">
                  <c:v>250</c:v>
                </c:pt>
                <c:pt idx="103">
                  <c:v>190</c:v>
                </c:pt>
                <c:pt idx="104">
                  <c:v>0</c:v>
                </c:pt>
                <c:pt idx="105">
                  <c:v>375</c:v>
                </c:pt>
                <c:pt idx="106">
                  <c:v>0</c:v>
                </c:pt>
                <c:pt idx="107">
                  <c:v>0</c:v>
                </c:pt>
                <c:pt idx="108">
                  <c:v>586.5</c:v>
                </c:pt>
                <c:pt idx="109">
                  <c:v>2760</c:v>
                </c:pt>
                <c:pt idx="110">
                  <c:v>0</c:v>
                </c:pt>
                <c:pt idx="111">
                  <c:v>0</c:v>
                </c:pt>
                <c:pt idx="112">
                  <c:v>0</c:v>
                </c:pt>
                <c:pt idx="113">
                  <c:v>0</c:v>
                </c:pt>
                <c:pt idx="114">
                  <c:v>1150</c:v>
                </c:pt>
                <c:pt idx="115">
                  <c:v>0</c:v>
                </c:pt>
                <c:pt idx="116">
                  <c:v>0</c:v>
                </c:pt>
                <c:pt idx="117">
                  <c:v>0</c:v>
                </c:pt>
                <c:pt idx="118">
                  <c:v>0</c:v>
                </c:pt>
                <c:pt idx="119">
                  <c:v>0</c:v>
                </c:pt>
                <c:pt idx="120">
                  <c:v>0</c:v>
                </c:pt>
                <c:pt idx="121">
                  <c:v>110.01</c:v>
                </c:pt>
                <c:pt idx="122">
                  <c:v>0</c:v>
                </c:pt>
                <c:pt idx="123">
                  <c:v>96.5</c:v>
                </c:pt>
                <c:pt idx="124">
                  <c:v>0</c:v>
                </c:pt>
                <c:pt idx="125">
                  <c:v>0</c:v>
                </c:pt>
                <c:pt idx="126">
                  <c:v>0</c:v>
                </c:pt>
                <c:pt idx="127">
                  <c:v>694.8</c:v>
                </c:pt>
                <c:pt idx="128">
                  <c:v>154</c:v>
                </c:pt>
                <c:pt idx="129">
                  <c:v>82.51</c:v>
                </c:pt>
                <c:pt idx="130">
                  <c:v>0</c:v>
                </c:pt>
                <c:pt idx="131">
                  <c:v>0</c:v>
                </c:pt>
                <c:pt idx="132">
                  <c:v>0</c:v>
                </c:pt>
                <c:pt idx="133">
                  <c:v>52.11</c:v>
                </c:pt>
                <c:pt idx="134">
                  <c:v>135.1</c:v>
                </c:pt>
                <c:pt idx="135">
                  <c:v>0</c:v>
                </c:pt>
                <c:pt idx="136">
                  <c:v>0</c:v>
                </c:pt>
                <c:pt idx="137">
                  <c:v>0</c:v>
                </c:pt>
                <c:pt idx="138">
                  <c:v>98</c:v>
                </c:pt>
                <c:pt idx="139">
                  <c:v>420</c:v>
                </c:pt>
                <c:pt idx="140">
                  <c:v>0</c:v>
                </c:pt>
                <c:pt idx="141">
                  <c:v>0</c:v>
                </c:pt>
                <c:pt idx="142">
                  <c:v>0</c:v>
                </c:pt>
                <c:pt idx="143">
                  <c:v>0</c:v>
                </c:pt>
                <c:pt idx="144">
                  <c:v>0</c:v>
                </c:pt>
                <c:pt idx="145">
                  <c:v>0</c:v>
                </c:pt>
                <c:pt idx="146">
                  <c:v>0</c:v>
                </c:pt>
                <c:pt idx="147">
                  <c:v>0</c:v>
                </c:pt>
                <c:pt idx="148">
                  <c:v>820.95</c:v>
                </c:pt>
                <c:pt idx="149">
                  <c:v>0</c:v>
                </c:pt>
                <c:pt idx="150">
                  <c:v>0</c:v>
                </c:pt>
                <c:pt idx="151">
                  <c:v>682.02</c:v>
                </c:pt>
                <c:pt idx="152">
                  <c:v>421</c:v>
                </c:pt>
                <c:pt idx="153">
                  <c:v>226.8</c:v>
                </c:pt>
                <c:pt idx="154">
                  <c:v>0</c:v>
                </c:pt>
                <c:pt idx="155">
                  <c:v>599.91999999999996</c:v>
                </c:pt>
                <c:pt idx="156">
                  <c:v>0</c:v>
                </c:pt>
                <c:pt idx="157">
                  <c:v>0</c:v>
                </c:pt>
                <c:pt idx="158">
                  <c:v>0</c:v>
                </c:pt>
                <c:pt idx="159">
                  <c:v>0</c:v>
                </c:pt>
                <c:pt idx="160">
                  <c:v>0</c:v>
                </c:pt>
                <c:pt idx="161">
                  <c:v>0</c:v>
                </c:pt>
                <c:pt idx="162">
                  <c:v>0</c:v>
                </c:pt>
                <c:pt idx="163">
                  <c:v>408</c:v>
                </c:pt>
                <c:pt idx="164">
                  <c:v>0</c:v>
                </c:pt>
                <c:pt idx="165">
                  <c:v>0</c:v>
                </c:pt>
                <c:pt idx="166">
                  <c:v>122.4</c:v>
                </c:pt>
                <c:pt idx="167">
                  <c:v>0</c:v>
                </c:pt>
                <c:pt idx="168">
                  <c:v>0</c:v>
                </c:pt>
                <c:pt idx="169">
                  <c:v>34.799999999999997</c:v>
                </c:pt>
                <c:pt idx="170">
                  <c:v>0</c:v>
                </c:pt>
                <c:pt idx="171">
                  <c:v>835.2</c:v>
                </c:pt>
                <c:pt idx="172">
                  <c:v>313.2</c:v>
                </c:pt>
                <c:pt idx="173">
                  <c:v>0</c:v>
                </c:pt>
                <c:pt idx="174">
                  <c:v>695</c:v>
                </c:pt>
                <c:pt idx="175">
                  <c:v>0</c:v>
                </c:pt>
                <c:pt idx="176">
                  <c:v>0</c:v>
                </c:pt>
                <c:pt idx="177">
                  <c:v>0</c:v>
                </c:pt>
                <c:pt idx="178">
                  <c:v>1044</c:v>
                </c:pt>
                <c:pt idx="179">
                  <c:v>0</c:v>
                </c:pt>
                <c:pt idx="180">
                  <c:v>730.8</c:v>
                </c:pt>
                <c:pt idx="181">
                  <c:v>0</c:v>
                </c:pt>
                <c:pt idx="182">
                  <c:v>835.2</c:v>
                </c:pt>
                <c:pt idx="183">
                  <c:v>0</c:v>
                </c:pt>
                <c:pt idx="184">
                  <c:v>340</c:v>
                </c:pt>
                <c:pt idx="185">
                  <c:v>0</c:v>
                </c:pt>
                <c:pt idx="186">
                  <c:v>960</c:v>
                </c:pt>
                <c:pt idx="187">
                  <c:v>0</c:v>
                </c:pt>
                <c:pt idx="188">
                  <c:v>0</c:v>
                </c:pt>
                <c:pt idx="189">
                  <c:v>87.75</c:v>
                </c:pt>
                <c:pt idx="190">
                  <c:v>0</c:v>
                </c:pt>
                <c:pt idx="191">
                  <c:v>78</c:v>
                </c:pt>
                <c:pt idx="192">
                  <c:v>0</c:v>
                </c:pt>
                <c:pt idx="193">
                  <c:v>117</c:v>
                </c:pt>
                <c:pt idx="194">
                  <c:v>0</c:v>
                </c:pt>
                <c:pt idx="195">
                  <c:v>0</c:v>
                </c:pt>
                <c:pt idx="196">
                  <c:v>0</c:v>
                </c:pt>
                <c:pt idx="197">
                  <c:v>560</c:v>
                </c:pt>
                <c:pt idx="198">
                  <c:v>0</c:v>
                </c:pt>
                <c:pt idx="199">
                  <c:v>0</c:v>
                </c:pt>
                <c:pt idx="200">
                  <c:v>105</c:v>
                </c:pt>
                <c:pt idx="201">
                  <c:v>0</c:v>
                </c:pt>
                <c:pt idx="202">
                  <c:v>0</c:v>
                </c:pt>
                <c:pt idx="203">
                  <c:v>3159</c:v>
                </c:pt>
                <c:pt idx="204">
                  <c:v>0</c:v>
                </c:pt>
                <c:pt idx="205">
                  <c:v>0</c:v>
                </c:pt>
                <c:pt idx="206">
                  <c:v>1093.5</c:v>
                </c:pt>
                <c:pt idx="207">
                  <c:v>0</c:v>
                </c:pt>
                <c:pt idx="208">
                  <c:v>150</c:v>
                </c:pt>
                <c:pt idx="209">
                  <c:v>0</c:v>
                </c:pt>
                <c:pt idx="210">
                  <c:v>0</c:v>
                </c:pt>
                <c:pt idx="211">
                  <c:v>0</c:v>
                </c:pt>
                <c:pt idx="212">
                  <c:v>0</c:v>
                </c:pt>
                <c:pt idx="213">
                  <c:v>0</c:v>
                </c:pt>
                <c:pt idx="214">
                  <c:v>54</c:v>
                </c:pt>
                <c:pt idx="215">
                  <c:v>0</c:v>
                </c:pt>
                <c:pt idx="216">
                  <c:v>0</c:v>
                </c:pt>
                <c:pt idx="217">
                  <c:v>0</c:v>
                </c:pt>
                <c:pt idx="218">
                  <c:v>0</c:v>
                </c:pt>
                <c:pt idx="219">
                  <c:v>0</c:v>
                </c:pt>
                <c:pt idx="220">
                  <c:v>0</c:v>
                </c:pt>
                <c:pt idx="221">
                  <c:v>0</c:v>
                </c:pt>
                <c:pt idx="222">
                  <c:v>0</c:v>
                </c:pt>
                <c:pt idx="223">
                  <c:v>0</c:v>
                </c:pt>
                <c:pt idx="224">
                  <c:v>0</c:v>
                </c:pt>
                <c:pt idx="225">
                  <c:v>0</c:v>
                </c:pt>
                <c:pt idx="226">
                  <c:v>320</c:v>
                </c:pt>
                <c:pt idx="227">
                  <c:v>120</c:v>
                </c:pt>
                <c:pt idx="228">
                  <c:v>0</c:v>
                </c:pt>
                <c:pt idx="229">
                  <c:v>360</c:v>
                </c:pt>
                <c:pt idx="230">
                  <c:v>54</c:v>
                </c:pt>
                <c:pt idx="231">
                  <c:v>0</c:v>
                </c:pt>
                <c:pt idx="232">
                  <c:v>0</c:v>
                </c:pt>
                <c:pt idx="233">
                  <c:v>0</c:v>
                </c:pt>
                <c:pt idx="234">
                  <c:v>0</c:v>
                </c:pt>
                <c:pt idx="235">
                  <c:v>306</c:v>
                </c:pt>
                <c:pt idx="236">
                  <c:v>0</c:v>
                </c:pt>
                <c:pt idx="237">
                  <c:v>0</c:v>
                </c:pt>
                <c:pt idx="238">
                  <c:v>0</c:v>
                </c:pt>
                <c:pt idx="239">
                  <c:v>0</c:v>
                </c:pt>
                <c:pt idx="240">
                  <c:v>540</c:v>
                </c:pt>
                <c:pt idx="241">
                  <c:v>108</c:v>
                </c:pt>
                <c:pt idx="242">
                  <c:v>0</c:v>
                </c:pt>
                <c:pt idx="243">
                  <c:v>0</c:v>
                </c:pt>
                <c:pt idx="244">
                  <c:v>0</c:v>
                </c:pt>
                <c:pt idx="245">
                  <c:v>0</c:v>
                </c:pt>
                <c:pt idx="246">
                  <c:v>92</c:v>
                </c:pt>
                <c:pt idx="247">
                  <c:v>0</c:v>
                </c:pt>
                <c:pt idx="248">
                  <c:v>0</c:v>
                </c:pt>
                <c:pt idx="249">
                  <c:v>0</c:v>
                </c:pt>
                <c:pt idx="250">
                  <c:v>0</c:v>
                </c:pt>
                <c:pt idx="251">
                  <c:v>0</c:v>
                </c:pt>
                <c:pt idx="252">
                  <c:v>0</c:v>
                </c:pt>
                <c:pt idx="253">
                  <c:v>0</c:v>
                </c:pt>
                <c:pt idx="254">
                  <c:v>257.60000000000002</c:v>
                </c:pt>
                <c:pt idx="255">
                  <c:v>0</c:v>
                </c:pt>
                <c:pt idx="256">
                  <c:v>0</c:v>
                </c:pt>
                <c:pt idx="257">
                  <c:v>0</c:v>
                </c:pt>
                <c:pt idx="258">
                  <c:v>0</c:v>
                </c:pt>
                <c:pt idx="259">
                  <c:v>0</c:v>
                </c:pt>
                <c:pt idx="260">
                  <c:v>0</c:v>
                </c:pt>
                <c:pt idx="261">
                  <c:v>1275</c:v>
                </c:pt>
                <c:pt idx="262">
                  <c:v>0</c:v>
                </c:pt>
                <c:pt idx="263">
                  <c:v>0</c:v>
                </c:pt>
                <c:pt idx="264">
                  <c:v>0</c:v>
                </c:pt>
                <c:pt idx="265">
                  <c:v>0</c:v>
                </c:pt>
                <c:pt idx="266">
                  <c:v>0</c:v>
                </c:pt>
                <c:pt idx="267">
                  <c:v>0</c:v>
                </c:pt>
                <c:pt idx="268">
                  <c:v>0</c:v>
                </c:pt>
                <c:pt idx="269">
                  <c:v>300</c:v>
                </c:pt>
                <c:pt idx="270">
                  <c:v>0</c:v>
                </c:pt>
                <c:pt idx="271">
                  <c:v>0</c:v>
                </c:pt>
                <c:pt idx="272">
                  <c:v>0</c:v>
                </c:pt>
                <c:pt idx="273">
                  <c:v>0</c:v>
                </c:pt>
                <c:pt idx="274">
                  <c:v>263.39999999999998</c:v>
                </c:pt>
                <c:pt idx="275">
                  <c:v>0</c:v>
                </c:pt>
                <c:pt idx="276">
                  <c:v>0</c:v>
                </c:pt>
              </c:numCache>
            </c:numRef>
          </c:val>
          <c:extLst>
            <c:ext xmlns:c16="http://schemas.microsoft.com/office/drawing/2014/chart" uri="{C3380CC4-5D6E-409C-BE32-E72D297353CC}">
              <c16:uniqueId val="{00000001-6469-407E-9C4B-4CC4314D4249}"/>
            </c:ext>
          </c:extLst>
        </c:ser>
        <c:ser>
          <c:idx val="2"/>
          <c:order val="2"/>
          <c:spPr>
            <a:solidFill>
              <a:schemeClr val="accent3"/>
            </a:solidFill>
            <a:ln>
              <a:noFill/>
            </a:ln>
            <a:effectLst/>
          </c:spPr>
          <c:invertIfNegative val="0"/>
          <c:cat>
            <c:multiLvlStrRef>
              <c:f>Sheet13!$A$2:$B$278</c:f>
              <c:multiLvlStrCache>
                <c:ptCount val="277"/>
                <c:lvl>
                  <c:pt idx="0">
                    <c:v>ANTON</c:v>
                  </c:pt>
                  <c:pt idx="1">
                    <c:v>BERGS</c:v>
                  </c:pt>
                  <c:pt idx="2">
                    <c:v>BOLID</c:v>
                  </c:pt>
                  <c:pt idx="3">
                    <c:v>BOTTM</c:v>
                  </c:pt>
                  <c:pt idx="4">
                    <c:v>ERNSH</c:v>
                  </c:pt>
                  <c:pt idx="5">
                    <c:v>GODOS</c:v>
                  </c:pt>
                  <c:pt idx="6">
                    <c:v>HUNGC</c:v>
                  </c:pt>
                  <c:pt idx="7">
                    <c:v>PICCO</c:v>
                  </c:pt>
                  <c:pt idx="8">
                    <c:v>RATTC</c:v>
                  </c:pt>
                  <c:pt idx="9">
                    <c:v>REGGC</c:v>
                  </c:pt>
                  <c:pt idx="10">
                    <c:v>SAVEA</c:v>
                  </c:pt>
                  <c:pt idx="11">
                    <c:v>SEVES</c:v>
                  </c:pt>
                  <c:pt idx="12">
                    <c:v>WHITC</c:v>
                  </c:pt>
                  <c:pt idx="13">
                    <c:v>ALFKI</c:v>
                  </c:pt>
                  <c:pt idx="14">
                    <c:v>BOTTM</c:v>
                  </c:pt>
                  <c:pt idx="15">
                    <c:v>ERNSH</c:v>
                  </c:pt>
                  <c:pt idx="16">
                    <c:v>LINOD</c:v>
                  </c:pt>
                  <c:pt idx="17">
                    <c:v>QUICK</c:v>
                  </c:pt>
                  <c:pt idx="18">
                    <c:v>VAFFE</c:v>
                  </c:pt>
                  <c:pt idx="19">
                    <c:v>ANTON</c:v>
                  </c:pt>
                  <c:pt idx="20">
                    <c:v>BERGS</c:v>
                  </c:pt>
                  <c:pt idx="21">
                    <c:v>BONAP</c:v>
                  </c:pt>
                  <c:pt idx="22">
                    <c:v>BOTTM</c:v>
                  </c:pt>
                  <c:pt idx="23">
                    <c:v>BSBEV</c:v>
                  </c:pt>
                  <c:pt idx="24">
                    <c:v>FRANS</c:v>
                  </c:pt>
                  <c:pt idx="25">
                    <c:v>HILAA</c:v>
                  </c:pt>
                  <c:pt idx="26">
                    <c:v>LAZYK</c:v>
                  </c:pt>
                  <c:pt idx="27">
                    <c:v>LEHMS</c:v>
                  </c:pt>
                  <c:pt idx="28">
                    <c:v>MAGAA</c:v>
                  </c:pt>
                  <c:pt idx="29">
                    <c:v>OTTIK</c:v>
                  </c:pt>
                  <c:pt idx="30">
                    <c:v>PERIC</c:v>
                  </c:pt>
                  <c:pt idx="31">
                    <c:v>QUEEN</c:v>
                  </c:pt>
                  <c:pt idx="32">
                    <c:v>QUICK</c:v>
                  </c:pt>
                  <c:pt idx="33">
                    <c:v>RANCH</c:v>
                  </c:pt>
                  <c:pt idx="34">
                    <c:v>SAVEA</c:v>
                  </c:pt>
                  <c:pt idx="35">
                    <c:v>TRAIH</c:v>
                  </c:pt>
                  <c:pt idx="36">
                    <c:v>VAFFE</c:v>
                  </c:pt>
                  <c:pt idx="37">
                    <c:v>ANATR</c:v>
                  </c:pt>
                  <c:pt idx="38">
                    <c:v>AROUT</c:v>
                  </c:pt>
                  <c:pt idx="39">
                    <c:v>BERGS</c:v>
                  </c:pt>
                  <c:pt idx="40">
                    <c:v>BOTTM</c:v>
                  </c:pt>
                  <c:pt idx="41">
                    <c:v>CHOPS</c:v>
                  </c:pt>
                  <c:pt idx="42">
                    <c:v>FAMIA</c:v>
                  </c:pt>
                  <c:pt idx="43">
                    <c:v>FRANK</c:v>
                  </c:pt>
                  <c:pt idx="44">
                    <c:v>FURIB</c:v>
                  </c:pt>
                  <c:pt idx="45">
                    <c:v>GOURL</c:v>
                  </c:pt>
                  <c:pt idx="46">
                    <c:v>LEHMS</c:v>
                  </c:pt>
                  <c:pt idx="47">
                    <c:v>MEREP</c:v>
                  </c:pt>
                  <c:pt idx="48">
                    <c:v>OTTIK</c:v>
                  </c:pt>
                  <c:pt idx="49">
                    <c:v>QUEEN</c:v>
                  </c:pt>
                  <c:pt idx="50">
                    <c:v>QUICK</c:v>
                  </c:pt>
                  <c:pt idx="51">
                    <c:v>RICAR</c:v>
                  </c:pt>
                  <c:pt idx="52">
                    <c:v>RICSU</c:v>
                  </c:pt>
                  <c:pt idx="53">
                    <c:v>SAVEA</c:v>
                  </c:pt>
                  <c:pt idx="54">
                    <c:v>WARTH</c:v>
                  </c:pt>
                  <c:pt idx="55">
                    <c:v>WOLZA</c:v>
                  </c:pt>
                  <c:pt idx="56">
                    <c:v>BERGS</c:v>
                  </c:pt>
                  <c:pt idx="57">
                    <c:v>BONAP</c:v>
                  </c:pt>
                  <c:pt idx="58">
                    <c:v>EASTC</c:v>
                  </c:pt>
                  <c:pt idx="59">
                    <c:v>FOLKO</c:v>
                  </c:pt>
                  <c:pt idx="60">
                    <c:v>FURIB</c:v>
                  </c:pt>
                  <c:pt idx="61">
                    <c:v>MAGAA</c:v>
                  </c:pt>
                  <c:pt idx="62">
                    <c:v>QUEEN</c:v>
                  </c:pt>
                  <c:pt idx="63">
                    <c:v>QUICK</c:v>
                  </c:pt>
                  <c:pt idx="64">
                    <c:v>TRADH</c:v>
                  </c:pt>
                  <c:pt idx="65">
                    <c:v>WARTH</c:v>
                  </c:pt>
                  <c:pt idx="66">
                    <c:v>MAGAA</c:v>
                  </c:pt>
                  <c:pt idx="67">
                    <c:v>THEBI</c:v>
                  </c:pt>
                  <c:pt idx="68">
                    <c:v>AROUT</c:v>
                  </c:pt>
                  <c:pt idx="69">
                    <c:v>BERGS</c:v>
                  </c:pt>
                  <c:pt idx="70">
                    <c:v>BLONP</c:v>
                  </c:pt>
                  <c:pt idx="71">
                    <c:v>DUMON</c:v>
                  </c:pt>
                  <c:pt idx="72">
                    <c:v>FAMIA</c:v>
                  </c:pt>
                  <c:pt idx="73">
                    <c:v>LAUGB</c:v>
                  </c:pt>
                  <c:pt idx="74">
                    <c:v>NORTS</c:v>
                  </c:pt>
                  <c:pt idx="75">
                    <c:v>OLDWO</c:v>
                  </c:pt>
                  <c:pt idx="76">
                    <c:v>REGGC</c:v>
                  </c:pt>
                  <c:pt idx="77">
                    <c:v>RICAR</c:v>
                  </c:pt>
                  <c:pt idx="78">
                    <c:v>RICSU</c:v>
                  </c:pt>
                  <c:pt idx="79">
                    <c:v>TOMSP</c:v>
                  </c:pt>
                  <c:pt idx="80">
                    <c:v>VAFFE</c:v>
                  </c:pt>
                  <c:pt idx="81">
                    <c:v>VINET</c:v>
                  </c:pt>
                  <c:pt idx="82">
                    <c:v>AROUT</c:v>
                  </c:pt>
                  <c:pt idx="83">
                    <c:v>BLONP</c:v>
                  </c:pt>
                  <c:pt idx="84">
                    <c:v>BONAP</c:v>
                  </c:pt>
                  <c:pt idx="85">
                    <c:v>CACTU</c:v>
                  </c:pt>
                  <c:pt idx="86">
                    <c:v>ERNSH</c:v>
                  </c:pt>
                  <c:pt idx="87">
                    <c:v>FOLKO</c:v>
                  </c:pt>
                  <c:pt idx="88">
                    <c:v>GOURL</c:v>
                  </c:pt>
                  <c:pt idx="89">
                    <c:v>HANAR</c:v>
                  </c:pt>
                  <c:pt idx="90">
                    <c:v>HILAA</c:v>
                  </c:pt>
                  <c:pt idx="91">
                    <c:v>HUNGO</c:v>
                  </c:pt>
                  <c:pt idx="92">
                    <c:v>LEHMS</c:v>
                  </c:pt>
                  <c:pt idx="93">
                    <c:v>OLDWO</c:v>
                  </c:pt>
                  <c:pt idx="94">
                    <c:v>PICCO</c:v>
                  </c:pt>
                  <c:pt idx="95">
                    <c:v>QUEEN</c:v>
                  </c:pt>
                  <c:pt idx="96">
                    <c:v>QUICK</c:v>
                  </c:pt>
                  <c:pt idx="97">
                    <c:v>RATTC</c:v>
                  </c:pt>
                  <c:pt idx="98">
                    <c:v>RICSU</c:v>
                  </c:pt>
                  <c:pt idx="99">
                    <c:v>SAVEA</c:v>
                  </c:pt>
                  <c:pt idx="100">
                    <c:v>SUPRD</c:v>
                  </c:pt>
                  <c:pt idx="101">
                    <c:v>TOMSP</c:v>
                  </c:pt>
                  <c:pt idx="102">
                    <c:v>TORTU</c:v>
                  </c:pt>
                  <c:pt idx="103">
                    <c:v>TRADH</c:v>
                  </c:pt>
                  <c:pt idx="104">
                    <c:v>WANDK</c:v>
                  </c:pt>
                  <c:pt idx="105">
                    <c:v>WARTH</c:v>
                  </c:pt>
                  <c:pt idx="106">
                    <c:v>GOURL</c:v>
                  </c:pt>
                  <c:pt idx="107">
                    <c:v>MEREP</c:v>
                  </c:pt>
                  <c:pt idx="108">
                    <c:v>ANTON</c:v>
                  </c:pt>
                  <c:pt idx="109">
                    <c:v>BERGS</c:v>
                  </c:pt>
                  <c:pt idx="110">
                    <c:v>FURIB</c:v>
                  </c:pt>
                  <c:pt idx="111">
                    <c:v>KOENE</c:v>
                  </c:pt>
                  <c:pt idx="112">
                    <c:v>MAISD</c:v>
                  </c:pt>
                  <c:pt idx="113">
                    <c:v>OLDWO</c:v>
                  </c:pt>
                  <c:pt idx="114">
                    <c:v>PICCO</c:v>
                  </c:pt>
                  <c:pt idx="115">
                    <c:v>QUICK</c:v>
                  </c:pt>
                  <c:pt idx="116">
                    <c:v>SUPRD</c:v>
                  </c:pt>
                  <c:pt idx="117">
                    <c:v>WELLI</c:v>
                  </c:pt>
                  <c:pt idx="118">
                    <c:v>WILMK</c:v>
                  </c:pt>
                  <c:pt idx="119">
                    <c:v>AROUT</c:v>
                  </c:pt>
                  <c:pt idx="120">
                    <c:v>BERGS</c:v>
                  </c:pt>
                  <c:pt idx="121">
                    <c:v>BLONP</c:v>
                  </c:pt>
                  <c:pt idx="122">
                    <c:v>BOTTM</c:v>
                  </c:pt>
                  <c:pt idx="123">
                    <c:v>CACTU</c:v>
                  </c:pt>
                  <c:pt idx="124">
                    <c:v>FAMIA</c:v>
                  </c:pt>
                  <c:pt idx="125">
                    <c:v>FRANK</c:v>
                  </c:pt>
                  <c:pt idx="126">
                    <c:v>GOURL</c:v>
                  </c:pt>
                  <c:pt idx="127">
                    <c:v>HUNGO</c:v>
                  </c:pt>
                  <c:pt idx="128">
                    <c:v>LAUGB</c:v>
                  </c:pt>
                  <c:pt idx="129">
                    <c:v>OTTIK</c:v>
                  </c:pt>
                  <c:pt idx="130">
                    <c:v>PICCO</c:v>
                  </c:pt>
                  <c:pt idx="131">
                    <c:v>REGGC</c:v>
                  </c:pt>
                  <c:pt idx="132">
                    <c:v>SAVEA</c:v>
                  </c:pt>
                  <c:pt idx="133">
                    <c:v>SEVES</c:v>
                  </c:pt>
                  <c:pt idx="134">
                    <c:v>TOMSP</c:v>
                  </c:pt>
                  <c:pt idx="135">
                    <c:v>VAFFE</c:v>
                  </c:pt>
                  <c:pt idx="136">
                    <c:v>VINET</c:v>
                  </c:pt>
                  <c:pt idx="137">
                    <c:v>FRANK</c:v>
                  </c:pt>
                  <c:pt idx="138">
                    <c:v>LONEP</c:v>
                  </c:pt>
                  <c:pt idx="139">
                    <c:v>PERIC</c:v>
                  </c:pt>
                  <c:pt idx="140">
                    <c:v>THECR</c:v>
                  </c:pt>
                  <c:pt idx="141">
                    <c:v>FRANS</c:v>
                  </c:pt>
                  <c:pt idx="142">
                    <c:v>HILAA</c:v>
                  </c:pt>
                  <c:pt idx="143">
                    <c:v>MEREP</c:v>
                  </c:pt>
                  <c:pt idx="144">
                    <c:v>QUICK</c:v>
                  </c:pt>
                  <c:pt idx="145">
                    <c:v>VICTE</c:v>
                  </c:pt>
                  <c:pt idx="146">
                    <c:v>WARTH</c:v>
                  </c:pt>
                  <c:pt idx="147">
                    <c:v>BONAP</c:v>
                  </c:pt>
                  <c:pt idx="148">
                    <c:v>ERNSH</c:v>
                  </c:pt>
                  <c:pt idx="149">
                    <c:v>FRANR</c:v>
                  </c:pt>
                  <c:pt idx="150">
                    <c:v>FURIB</c:v>
                  </c:pt>
                  <c:pt idx="151">
                    <c:v>HANAR</c:v>
                  </c:pt>
                  <c:pt idx="152">
                    <c:v>HUNGO</c:v>
                  </c:pt>
                  <c:pt idx="153">
                    <c:v>LAMAI</c:v>
                  </c:pt>
                  <c:pt idx="154">
                    <c:v>LINOD</c:v>
                  </c:pt>
                  <c:pt idx="155">
                    <c:v>OTTIK</c:v>
                  </c:pt>
                  <c:pt idx="156">
                    <c:v>PICCO</c:v>
                  </c:pt>
                  <c:pt idx="157">
                    <c:v>QUICK</c:v>
                  </c:pt>
                  <c:pt idx="158">
                    <c:v>RATTC</c:v>
                  </c:pt>
                  <c:pt idx="159">
                    <c:v>RICAR</c:v>
                  </c:pt>
                  <c:pt idx="160">
                    <c:v>RICSU</c:v>
                  </c:pt>
                  <c:pt idx="161">
                    <c:v>VICTE</c:v>
                  </c:pt>
                  <c:pt idx="162">
                    <c:v>ANTON</c:v>
                  </c:pt>
                  <c:pt idx="163">
                    <c:v>EASTC</c:v>
                  </c:pt>
                  <c:pt idx="164">
                    <c:v>ERNSH</c:v>
                  </c:pt>
                  <c:pt idx="165">
                    <c:v>FOLKO</c:v>
                  </c:pt>
                  <c:pt idx="166">
                    <c:v>LAMAI</c:v>
                  </c:pt>
                  <c:pt idx="167">
                    <c:v>SUPRD</c:v>
                  </c:pt>
                  <c:pt idx="168">
                    <c:v>BOTTM</c:v>
                  </c:pt>
                  <c:pt idx="169">
                    <c:v>BSBEV</c:v>
                  </c:pt>
                  <c:pt idx="170">
                    <c:v>CONSH</c:v>
                  </c:pt>
                  <c:pt idx="171">
                    <c:v>FOLKO</c:v>
                  </c:pt>
                  <c:pt idx="172">
                    <c:v>GREAL</c:v>
                  </c:pt>
                  <c:pt idx="173">
                    <c:v>ISLAT</c:v>
                  </c:pt>
                  <c:pt idx="174">
                    <c:v>LEHMS</c:v>
                  </c:pt>
                  <c:pt idx="175">
                    <c:v>LINOD</c:v>
                  </c:pt>
                  <c:pt idx="176">
                    <c:v>MAGAA</c:v>
                  </c:pt>
                  <c:pt idx="177">
                    <c:v>MAISD</c:v>
                  </c:pt>
                  <c:pt idx="178">
                    <c:v>MORGK</c:v>
                  </c:pt>
                  <c:pt idx="179">
                    <c:v>QUICK</c:v>
                  </c:pt>
                  <c:pt idx="180">
                    <c:v>RICSU</c:v>
                  </c:pt>
                  <c:pt idx="181">
                    <c:v>SAVEA</c:v>
                  </c:pt>
                  <c:pt idx="182">
                    <c:v>SIMOB</c:v>
                  </c:pt>
                  <c:pt idx="183">
                    <c:v>VICTE</c:v>
                  </c:pt>
                  <c:pt idx="184">
                    <c:v>BONAP</c:v>
                  </c:pt>
                  <c:pt idx="185">
                    <c:v>GOURL</c:v>
                  </c:pt>
                  <c:pt idx="186">
                    <c:v>LEHMS</c:v>
                  </c:pt>
                  <c:pt idx="187">
                    <c:v>QUEEN</c:v>
                  </c:pt>
                  <c:pt idx="188">
                    <c:v>WILMK</c:v>
                  </c:pt>
                  <c:pt idx="189">
                    <c:v>ANTON</c:v>
                  </c:pt>
                  <c:pt idx="190">
                    <c:v>AROUT</c:v>
                  </c:pt>
                  <c:pt idx="191">
                    <c:v>BLAUS</c:v>
                  </c:pt>
                  <c:pt idx="192">
                    <c:v>BONAP</c:v>
                  </c:pt>
                  <c:pt idx="193">
                    <c:v>BSBEV</c:v>
                  </c:pt>
                  <c:pt idx="194">
                    <c:v>PICCO</c:v>
                  </c:pt>
                  <c:pt idx="195">
                    <c:v>TOMSP</c:v>
                  </c:pt>
                  <c:pt idx="196">
                    <c:v>WARTH</c:v>
                  </c:pt>
                  <c:pt idx="197">
                    <c:v>ANTON</c:v>
                  </c:pt>
                  <c:pt idx="198">
                    <c:v>SAVEA</c:v>
                  </c:pt>
                  <c:pt idx="199">
                    <c:v>THEBI</c:v>
                  </c:pt>
                  <c:pt idx="200">
                    <c:v>TOMSP</c:v>
                  </c:pt>
                  <c:pt idx="201">
                    <c:v>VAFFE</c:v>
                  </c:pt>
                  <c:pt idx="202">
                    <c:v>WHITC</c:v>
                  </c:pt>
                  <c:pt idx="203">
                    <c:v>ERNSH</c:v>
                  </c:pt>
                  <c:pt idx="204">
                    <c:v>HUNGC</c:v>
                  </c:pt>
                  <c:pt idx="205">
                    <c:v>LEHMS</c:v>
                  </c:pt>
                  <c:pt idx="206">
                    <c:v>SEVES</c:v>
                  </c:pt>
                  <c:pt idx="207">
                    <c:v>BLAUS</c:v>
                  </c:pt>
                  <c:pt idx="208">
                    <c:v>BSBEV</c:v>
                  </c:pt>
                  <c:pt idx="209">
                    <c:v>CHOPS</c:v>
                  </c:pt>
                  <c:pt idx="210">
                    <c:v>DUMON</c:v>
                  </c:pt>
                  <c:pt idx="211">
                    <c:v>ERNSH</c:v>
                  </c:pt>
                  <c:pt idx="212">
                    <c:v>FOLIG</c:v>
                  </c:pt>
                  <c:pt idx="213">
                    <c:v>FRANK</c:v>
                  </c:pt>
                  <c:pt idx="214">
                    <c:v>GODOS</c:v>
                  </c:pt>
                  <c:pt idx="215">
                    <c:v>GREAL</c:v>
                  </c:pt>
                  <c:pt idx="216">
                    <c:v>KOENE</c:v>
                  </c:pt>
                  <c:pt idx="217">
                    <c:v>LILAS</c:v>
                  </c:pt>
                  <c:pt idx="218">
                    <c:v>LINOD</c:v>
                  </c:pt>
                  <c:pt idx="219">
                    <c:v>MEREP</c:v>
                  </c:pt>
                  <c:pt idx="220">
                    <c:v>OCEAN</c:v>
                  </c:pt>
                  <c:pt idx="221">
                    <c:v>PRINI</c:v>
                  </c:pt>
                  <c:pt idx="222">
                    <c:v>QUEEN</c:v>
                  </c:pt>
                  <c:pt idx="223">
                    <c:v>QUICK</c:v>
                  </c:pt>
                  <c:pt idx="224">
                    <c:v>RANCH</c:v>
                  </c:pt>
                  <c:pt idx="225">
                    <c:v>SIMOB</c:v>
                  </c:pt>
                  <c:pt idx="226">
                    <c:v>WANDK</c:v>
                  </c:pt>
                  <c:pt idx="227">
                    <c:v>WHITC</c:v>
                  </c:pt>
                  <c:pt idx="228">
                    <c:v>BERGS</c:v>
                  </c:pt>
                  <c:pt idx="229">
                    <c:v>BSBEV</c:v>
                  </c:pt>
                  <c:pt idx="230">
                    <c:v>CACTU</c:v>
                  </c:pt>
                  <c:pt idx="231">
                    <c:v>EASTC</c:v>
                  </c:pt>
                  <c:pt idx="232">
                    <c:v>ERNSH</c:v>
                  </c:pt>
                  <c:pt idx="233">
                    <c:v>FOLIG</c:v>
                  </c:pt>
                  <c:pt idx="234">
                    <c:v>FRANK</c:v>
                  </c:pt>
                  <c:pt idx="235">
                    <c:v>FURIB</c:v>
                  </c:pt>
                  <c:pt idx="236">
                    <c:v>GREAL</c:v>
                  </c:pt>
                  <c:pt idx="237">
                    <c:v>LINOD</c:v>
                  </c:pt>
                  <c:pt idx="238">
                    <c:v>MEREP</c:v>
                  </c:pt>
                  <c:pt idx="239">
                    <c:v>QUEDE</c:v>
                  </c:pt>
                  <c:pt idx="240">
                    <c:v>VICTE</c:v>
                  </c:pt>
                  <c:pt idx="241">
                    <c:v>WARTH</c:v>
                  </c:pt>
                  <c:pt idx="242">
                    <c:v>WHITC</c:v>
                  </c:pt>
                  <c:pt idx="243">
                    <c:v>FAMIA</c:v>
                  </c:pt>
                  <c:pt idx="244">
                    <c:v>FRANK</c:v>
                  </c:pt>
                  <c:pt idx="245">
                    <c:v>FRANS</c:v>
                  </c:pt>
                  <c:pt idx="246">
                    <c:v>GODOS</c:v>
                  </c:pt>
                  <c:pt idx="247">
                    <c:v>GREAL</c:v>
                  </c:pt>
                  <c:pt idx="248">
                    <c:v>ISLAT</c:v>
                  </c:pt>
                  <c:pt idx="249">
                    <c:v>LINOD</c:v>
                  </c:pt>
                  <c:pt idx="250">
                    <c:v>QUEDE</c:v>
                  </c:pt>
                  <c:pt idx="251">
                    <c:v>QUEEN</c:v>
                  </c:pt>
                  <c:pt idx="252">
                    <c:v>QUICK</c:v>
                  </c:pt>
                  <c:pt idx="253">
                    <c:v>RICAR</c:v>
                  </c:pt>
                  <c:pt idx="254">
                    <c:v>SAVEA</c:v>
                  </c:pt>
                  <c:pt idx="255">
                    <c:v>SUPRD</c:v>
                  </c:pt>
                  <c:pt idx="256">
                    <c:v>TOMSP</c:v>
                  </c:pt>
                  <c:pt idx="257">
                    <c:v>TORTU</c:v>
                  </c:pt>
                  <c:pt idx="258">
                    <c:v>WANDK</c:v>
                  </c:pt>
                  <c:pt idx="259">
                    <c:v>WARTH</c:v>
                  </c:pt>
                  <c:pt idx="260">
                    <c:v>WELLI</c:v>
                  </c:pt>
                  <c:pt idx="261">
                    <c:v>BONAP</c:v>
                  </c:pt>
                  <c:pt idx="262">
                    <c:v>BSBEV</c:v>
                  </c:pt>
                  <c:pt idx="263">
                    <c:v>FOLIG</c:v>
                  </c:pt>
                  <c:pt idx="264">
                    <c:v>GOURL</c:v>
                  </c:pt>
                  <c:pt idx="265">
                    <c:v>OTTIK</c:v>
                  </c:pt>
                  <c:pt idx="266">
                    <c:v>QUICK</c:v>
                  </c:pt>
                  <c:pt idx="267">
                    <c:v>SAVEA</c:v>
                  </c:pt>
                  <c:pt idx="268">
                    <c:v>VAFFE</c:v>
                  </c:pt>
                  <c:pt idx="269">
                    <c:v>VICTE</c:v>
                  </c:pt>
                  <c:pt idx="270">
                    <c:v>ALFKI</c:v>
                  </c:pt>
                  <c:pt idx="271">
                    <c:v>ERNSH</c:v>
                  </c:pt>
                  <c:pt idx="272">
                    <c:v>FOLIG</c:v>
                  </c:pt>
                  <c:pt idx="273">
                    <c:v>HUNGO</c:v>
                  </c:pt>
                  <c:pt idx="274">
                    <c:v>MORGK</c:v>
                  </c:pt>
                  <c:pt idx="275">
                    <c:v>PICCO</c:v>
                  </c:pt>
                  <c:pt idx="276">
                    <c:v>WHITC</c:v>
                  </c:pt>
                </c:lvl>
                <c:lvl>
                  <c:pt idx="0">
                    <c:v>Alice Mutton</c:v>
                  </c:pt>
                  <c:pt idx="1">
                    <c:v>Alice Mutton</c:v>
                  </c:pt>
                  <c:pt idx="2">
                    <c:v>Alice Mutton</c:v>
                  </c:pt>
                  <c:pt idx="3">
                    <c:v>Alice Mutton</c:v>
                  </c:pt>
                  <c:pt idx="4">
                    <c:v>Alice Mutton</c:v>
                  </c:pt>
                  <c:pt idx="5">
                    <c:v>Alice Mutton</c:v>
                  </c:pt>
                  <c:pt idx="6">
                    <c:v>Alice Mutton</c:v>
                  </c:pt>
                  <c:pt idx="7">
                    <c:v>Alice Mutton</c:v>
                  </c:pt>
                  <c:pt idx="8">
                    <c:v>Alice Mutton</c:v>
                  </c:pt>
                  <c:pt idx="9">
                    <c:v>Alice Mutton</c:v>
                  </c:pt>
                  <c:pt idx="10">
                    <c:v>Alice Mutton</c:v>
                  </c:pt>
                  <c:pt idx="11">
                    <c:v>Alice Mutton</c:v>
                  </c:pt>
                  <c:pt idx="12">
                    <c:v>Alice Mutton</c:v>
                  </c:pt>
                  <c:pt idx="13">
                    <c:v>Aniseed Syrup</c:v>
                  </c:pt>
                  <c:pt idx="14">
                    <c:v>Aniseed Syrup</c:v>
                  </c:pt>
                  <c:pt idx="15">
                    <c:v>Aniseed Syrup</c:v>
                  </c:pt>
                  <c:pt idx="16">
                    <c:v>Aniseed Syrup</c:v>
                  </c:pt>
                  <c:pt idx="17">
                    <c:v>Aniseed Syrup</c:v>
                  </c:pt>
                  <c:pt idx="18">
                    <c:v>Aniseed Syrup</c:v>
                  </c:pt>
                  <c:pt idx="19">
                    <c:v>Boston Crab Meat</c:v>
                  </c:pt>
                  <c:pt idx="20">
                    <c:v>Boston Crab Meat</c:v>
                  </c:pt>
                  <c:pt idx="21">
                    <c:v>Boston Crab Meat</c:v>
                  </c:pt>
                  <c:pt idx="22">
                    <c:v>Boston Crab Meat</c:v>
                  </c:pt>
                  <c:pt idx="23">
                    <c:v>Boston Crab Meat</c:v>
                  </c:pt>
                  <c:pt idx="24">
                    <c:v>Boston Crab Meat</c:v>
                  </c:pt>
                  <c:pt idx="25">
                    <c:v>Boston Crab Meat</c:v>
                  </c:pt>
                  <c:pt idx="26">
                    <c:v>Boston Crab Meat</c:v>
                  </c:pt>
                  <c:pt idx="27">
                    <c:v>Boston Crab Meat</c:v>
                  </c:pt>
                  <c:pt idx="28">
                    <c:v>Boston Crab Meat</c:v>
                  </c:pt>
                  <c:pt idx="29">
                    <c:v>Boston Crab Meat</c:v>
                  </c:pt>
                  <c:pt idx="30">
                    <c:v>Boston Crab Meat</c:v>
                  </c:pt>
                  <c:pt idx="31">
                    <c:v>Boston Crab Meat</c:v>
                  </c:pt>
                  <c:pt idx="32">
                    <c:v>Boston Crab Meat</c:v>
                  </c:pt>
                  <c:pt idx="33">
                    <c:v>Boston Crab Meat</c:v>
                  </c:pt>
                  <c:pt idx="34">
                    <c:v>Boston Crab Meat</c:v>
                  </c:pt>
                  <c:pt idx="35">
                    <c:v>Boston Crab Meat</c:v>
                  </c:pt>
                  <c:pt idx="36">
                    <c:v>Boston Crab Meat</c:v>
                  </c:pt>
                  <c:pt idx="37">
                    <c:v>Camembert Pierrot</c:v>
                  </c:pt>
                  <c:pt idx="38">
                    <c:v>Camembert Pierrot</c:v>
                  </c:pt>
                  <c:pt idx="39">
                    <c:v>Camembert Pierrot</c:v>
                  </c:pt>
                  <c:pt idx="40">
                    <c:v>Camembert Pierrot</c:v>
                  </c:pt>
                  <c:pt idx="41">
                    <c:v>Camembert Pierrot</c:v>
                  </c:pt>
                  <c:pt idx="42">
                    <c:v>Camembert Pierrot</c:v>
                  </c:pt>
                  <c:pt idx="43">
                    <c:v>Camembert Pierrot</c:v>
                  </c:pt>
                  <c:pt idx="44">
                    <c:v>Camembert Pierrot</c:v>
                  </c:pt>
                  <c:pt idx="45">
                    <c:v>Camembert Pierrot</c:v>
                  </c:pt>
                  <c:pt idx="46">
                    <c:v>Camembert Pierrot</c:v>
                  </c:pt>
                  <c:pt idx="47">
                    <c:v>Camembert Pierrot</c:v>
                  </c:pt>
                  <c:pt idx="48">
                    <c:v>Camembert Pierrot</c:v>
                  </c:pt>
                  <c:pt idx="49">
                    <c:v>Camembert Pierrot</c:v>
                  </c:pt>
                  <c:pt idx="50">
                    <c:v>Camembert Pierrot</c:v>
                  </c:pt>
                  <c:pt idx="51">
                    <c:v>Camembert Pierrot</c:v>
                  </c:pt>
                  <c:pt idx="52">
                    <c:v>Camembert Pierrot</c:v>
                  </c:pt>
                  <c:pt idx="53">
                    <c:v>Camembert Pierrot</c:v>
                  </c:pt>
                  <c:pt idx="54">
                    <c:v>Camembert Pierrot</c:v>
                  </c:pt>
                  <c:pt idx="55">
                    <c:v>Camembert Pierrot</c:v>
                  </c:pt>
                  <c:pt idx="56">
                    <c:v>Chef Anton's Cajun Seasoning</c:v>
                  </c:pt>
                  <c:pt idx="57">
                    <c:v>Chef Anton's Cajun Seasoning</c:v>
                  </c:pt>
                  <c:pt idx="58">
                    <c:v>Chef Anton's Cajun Seasoning</c:v>
                  </c:pt>
                  <c:pt idx="59">
                    <c:v>Chef Anton's Cajun Seasoning</c:v>
                  </c:pt>
                  <c:pt idx="60">
                    <c:v>Chef Anton's Cajun Seasoning</c:v>
                  </c:pt>
                  <c:pt idx="61">
                    <c:v>Chef Anton's Cajun Seasoning</c:v>
                  </c:pt>
                  <c:pt idx="62">
                    <c:v>Chef Anton's Cajun Seasoning</c:v>
                  </c:pt>
                  <c:pt idx="63">
                    <c:v>Chef Anton's Cajun Seasoning</c:v>
                  </c:pt>
                  <c:pt idx="64">
                    <c:v>Chef Anton's Cajun Seasoning</c:v>
                  </c:pt>
                  <c:pt idx="65">
                    <c:v>Chef Anton's Cajun Seasoning</c:v>
                  </c:pt>
                  <c:pt idx="66">
                    <c:v>Chef Anton's Gumbo Mix</c:v>
                  </c:pt>
                  <c:pt idx="67">
                    <c:v>Chef Anton's Gumbo Mix</c:v>
                  </c:pt>
                  <c:pt idx="68">
                    <c:v>Filo Mix</c:v>
                  </c:pt>
                  <c:pt idx="69">
                    <c:v>Filo Mix</c:v>
                  </c:pt>
                  <c:pt idx="70">
                    <c:v>Filo Mix</c:v>
                  </c:pt>
                  <c:pt idx="71">
                    <c:v>Filo Mix</c:v>
                  </c:pt>
                  <c:pt idx="72">
                    <c:v>Filo Mix</c:v>
                  </c:pt>
                  <c:pt idx="73">
                    <c:v>Filo Mix</c:v>
                  </c:pt>
                  <c:pt idx="74">
                    <c:v>Filo Mix</c:v>
                  </c:pt>
                  <c:pt idx="75">
                    <c:v>Filo Mix</c:v>
                  </c:pt>
                  <c:pt idx="76">
                    <c:v>Filo Mix</c:v>
                  </c:pt>
                  <c:pt idx="77">
                    <c:v>Filo Mix</c:v>
                  </c:pt>
                  <c:pt idx="78">
                    <c:v>Filo Mix</c:v>
                  </c:pt>
                  <c:pt idx="79">
                    <c:v>Filo Mix</c:v>
                  </c:pt>
                  <c:pt idx="80">
                    <c:v>Filo Mix</c:v>
                  </c:pt>
                  <c:pt idx="81">
                    <c:v>Filo Mix</c:v>
                  </c:pt>
                  <c:pt idx="82">
                    <c:v>Gorgonzola Telino</c:v>
                  </c:pt>
                  <c:pt idx="83">
                    <c:v>Gorgonzola Telino</c:v>
                  </c:pt>
                  <c:pt idx="84">
                    <c:v>Gorgonzola Telino</c:v>
                  </c:pt>
                  <c:pt idx="85">
                    <c:v>Gorgonzola Telino</c:v>
                  </c:pt>
                  <c:pt idx="86">
                    <c:v>Gorgonzola Telino</c:v>
                  </c:pt>
                  <c:pt idx="87">
                    <c:v>Gorgonzola Telino</c:v>
                  </c:pt>
                  <c:pt idx="88">
                    <c:v>Gorgonzola Telino</c:v>
                  </c:pt>
                  <c:pt idx="89">
                    <c:v>Gorgonzola Telino</c:v>
                  </c:pt>
                  <c:pt idx="90">
                    <c:v>Gorgonzola Telino</c:v>
                  </c:pt>
                  <c:pt idx="91">
                    <c:v>Gorgonzola Telino</c:v>
                  </c:pt>
                  <c:pt idx="92">
                    <c:v>Gorgonzola Telino</c:v>
                  </c:pt>
                  <c:pt idx="93">
                    <c:v>Gorgonzola Telino</c:v>
                  </c:pt>
                  <c:pt idx="94">
                    <c:v>Gorgonzola Telino</c:v>
                  </c:pt>
                  <c:pt idx="95">
                    <c:v>Gorgonzola Telino</c:v>
                  </c:pt>
                  <c:pt idx="96">
                    <c:v>Gorgonzola Telino</c:v>
                  </c:pt>
                  <c:pt idx="97">
                    <c:v>Gorgonzola Telino</c:v>
                  </c:pt>
                  <c:pt idx="98">
                    <c:v>Gorgonzola Telino</c:v>
                  </c:pt>
                  <c:pt idx="99">
                    <c:v>Gorgonzola Telino</c:v>
                  </c:pt>
                  <c:pt idx="100">
                    <c:v>Gorgonzola Telino</c:v>
                  </c:pt>
                  <c:pt idx="101">
                    <c:v>Gorgonzola Telino</c:v>
                  </c:pt>
                  <c:pt idx="102">
                    <c:v>Gorgonzola Telino</c:v>
                  </c:pt>
                  <c:pt idx="103">
                    <c:v>Gorgonzola Telino</c:v>
                  </c:pt>
                  <c:pt idx="104">
                    <c:v>Gorgonzola Telino</c:v>
                  </c:pt>
                  <c:pt idx="105">
                    <c:v>Gorgonzola Telino</c:v>
                  </c:pt>
                  <c:pt idx="106">
                    <c:v>Grandma's Boysenberry Spread</c:v>
                  </c:pt>
                  <c:pt idx="107">
                    <c:v>Grandma's Boysenberry Spread</c:v>
                  </c:pt>
                  <c:pt idx="108">
                    <c:v>Ipoh Coffee</c:v>
                  </c:pt>
                  <c:pt idx="109">
                    <c:v>Ipoh Coffee</c:v>
                  </c:pt>
                  <c:pt idx="110">
                    <c:v>Ipoh Coffee</c:v>
                  </c:pt>
                  <c:pt idx="111">
                    <c:v>Ipoh Coffee</c:v>
                  </c:pt>
                  <c:pt idx="112">
                    <c:v>Ipoh Coffee</c:v>
                  </c:pt>
                  <c:pt idx="113">
                    <c:v>Ipoh Coffee</c:v>
                  </c:pt>
                  <c:pt idx="114">
                    <c:v>Ipoh Coffee</c:v>
                  </c:pt>
                  <c:pt idx="115">
                    <c:v>Ipoh Coffee</c:v>
                  </c:pt>
                  <c:pt idx="116">
                    <c:v>Ipoh Coffee</c:v>
                  </c:pt>
                  <c:pt idx="117">
                    <c:v>Ipoh Coffee</c:v>
                  </c:pt>
                  <c:pt idx="118">
                    <c:v>Ipoh Coffee</c:v>
                  </c:pt>
                  <c:pt idx="119">
                    <c:v>Jack's New England Clam Chowder</c:v>
                  </c:pt>
                  <c:pt idx="120">
                    <c:v>Jack's New England Clam Chowder</c:v>
                  </c:pt>
                  <c:pt idx="121">
                    <c:v>Jack's New England Clam Chowder</c:v>
                  </c:pt>
                  <c:pt idx="122">
                    <c:v>Jack's New England Clam Chowder</c:v>
                  </c:pt>
                  <c:pt idx="123">
                    <c:v>Jack's New England Clam Chowder</c:v>
                  </c:pt>
                  <c:pt idx="124">
                    <c:v>Jack's New England Clam Chowder</c:v>
                  </c:pt>
                  <c:pt idx="125">
                    <c:v>Jack's New England Clam Chowder</c:v>
                  </c:pt>
                  <c:pt idx="126">
                    <c:v>Jack's New England Clam Chowder</c:v>
                  </c:pt>
                  <c:pt idx="127">
                    <c:v>Jack's New England Clam Chowder</c:v>
                  </c:pt>
                  <c:pt idx="128">
                    <c:v>Jack's New England Clam Chowder</c:v>
                  </c:pt>
                  <c:pt idx="129">
                    <c:v>Jack's New England Clam Chowder</c:v>
                  </c:pt>
                  <c:pt idx="130">
                    <c:v>Jack's New England Clam Chowder</c:v>
                  </c:pt>
                  <c:pt idx="131">
                    <c:v>Jack's New England Clam Chowder</c:v>
                  </c:pt>
                  <c:pt idx="132">
                    <c:v>Jack's New England Clam Chowder</c:v>
                  </c:pt>
                  <c:pt idx="133">
                    <c:v>Jack's New England Clam Chowder</c:v>
                  </c:pt>
                  <c:pt idx="134">
                    <c:v>Jack's New England Clam Chowder</c:v>
                  </c:pt>
                  <c:pt idx="135">
                    <c:v>Jack's New England Clam Chowder</c:v>
                  </c:pt>
                  <c:pt idx="136">
                    <c:v>Jack's New England Clam Chowder</c:v>
                  </c:pt>
                  <c:pt idx="137">
                    <c:v>Laughing Lumberjack Lager</c:v>
                  </c:pt>
                  <c:pt idx="138">
                    <c:v>Laughing Lumberjack Lager</c:v>
                  </c:pt>
                  <c:pt idx="139">
                    <c:v>Laughing Lumberjack Lager</c:v>
                  </c:pt>
                  <c:pt idx="140">
                    <c:v>Laughing Lumberjack Lager</c:v>
                  </c:pt>
                  <c:pt idx="141">
                    <c:v>Longlife Tofu</c:v>
                  </c:pt>
                  <c:pt idx="142">
                    <c:v>Longlife Tofu</c:v>
                  </c:pt>
                  <c:pt idx="143">
                    <c:v>Longlife Tofu</c:v>
                  </c:pt>
                  <c:pt idx="144">
                    <c:v>Longlife Tofu</c:v>
                  </c:pt>
                  <c:pt idx="145">
                    <c:v>Longlife Tofu</c:v>
                  </c:pt>
                  <c:pt idx="146">
                    <c:v>Longlife Tofu</c:v>
                  </c:pt>
                  <c:pt idx="147">
                    <c:v>Louisiana Fiery Hot Pepper Sauce</c:v>
                  </c:pt>
                  <c:pt idx="148">
                    <c:v>Louisiana Fiery Hot Pepper Sauce</c:v>
                  </c:pt>
                  <c:pt idx="149">
                    <c:v>Louisiana Fiery Hot Pepper Sauce</c:v>
                  </c:pt>
                  <c:pt idx="150">
                    <c:v>Louisiana Fiery Hot Pepper Sauce</c:v>
                  </c:pt>
                  <c:pt idx="151">
                    <c:v>Louisiana Fiery Hot Pepper Sauce</c:v>
                  </c:pt>
                  <c:pt idx="152">
                    <c:v>Louisiana Fiery Hot Pepper Sauce</c:v>
                  </c:pt>
                  <c:pt idx="153">
                    <c:v>Louisiana Fiery Hot Pepper Sauce</c:v>
                  </c:pt>
                  <c:pt idx="154">
                    <c:v>Louisiana Fiery Hot Pepper Sauce</c:v>
                  </c:pt>
                  <c:pt idx="155">
                    <c:v>Louisiana Fiery Hot Pepper Sauce</c:v>
                  </c:pt>
                  <c:pt idx="156">
                    <c:v>Louisiana Fiery Hot Pepper Sauce</c:v>
                  </c:pt>
                  <c:pt idx="157">
                    <c:v>Louisiana Fiery Hot Pepper Sauce</c:v>
                  </c:pt>
                  <c:pt idx="158">
                    <c:v>Louisiana Fiery Hot Pepper Sauce</c:v>
                  </c:pt>
                  <c:pt idx="159">
                    <c:v>Louisiana Fiery Hot Pepper Sauce</c:v>
                  </c:pt>
                  <c:pt idx="160">
                    <c:v>Louisiana Fiery Hot Pepper Sauce</c:v>
                  </c:pt>
                  <c:pt idx="161">
                    <c:v>Louisiana Fiery Hot Pepper Sauce</c:v>
                  </c:pt>
                  <c:pt idx="162">
                    <c:v>Louisiana Hot Spiced Okra</c:v>
                  </c:pt>
                  <c:pt idx="163">
                    <c:v>Louisiana Hot Spiced Okra</c:v>
                  </c:pt>
                  <c:pt idx="164">
                    <c:v>Louisiana Hot Spiced Okra</c:v>
                  </c:pt>
                  <c:pt idx="165">
                    <c:v>Louisiana Hot Spiced Okra</c:v>
                  </c:pt>
                  <c:pt idx="166">
                    <c:v>Louisiana Hot Spiced Okra</c:v>
                  </c:pt>
                  <c:pt idx="167">
                    <c:v>Louisiana Hot Spiced Okra</c:v>
                  </c:pt>
                  <c:pt idx="168">
                    <c:v>Mozzarella di Giovanni</c:v>
                  </c:pt>
                  <c:pt idx="169">
                    <c:v>Mozzarella di Giovanni</c:v>
                  </c:pt>
                  <c:pt idx="170">
                    <c:v>Mozzarella di Giovanni</c:v>
                  </c:pt>
                  <c:pt idx="171">
                    <c:v>Mozzarella di Giovanni</c:v>
                  </c:pt>
                  <c:pt idx="172">
                    <c:v>Mozzarella di Giovanni</c:v>
                  </c:pt>
                  <c:pt idx="173">
                    <c:v>Mozzarella di Giovanni</c:v>
                  </c:pt>
                  <c:pt idx="174">
                    <c:v>Mozzarella di Giovanni</c:v>
                  </c:pt>
                  <c:pt idx="175">
                    <c:v>Mozzarella di Giovanni</c:v>
                  </c:pt>
                  <c:pt idx="176">
                    <c:v>Mozzarella di Giovanni</c:v>
                  </c:pt>
                  <c:pt idx="177">
                    <c:v>Mozzarella di Giovanni</c:v>
                  </c:pt>
                  <c:pt idx="178">
                    <c:v>Mozzarella di Giovanni</c:v>
                  </c:pt>
                  <c:pt idx="179">
                    <c:v>Mozzarella di Giovanni</c:v>
                  </c:pt>
                  <c:pt idx="180">
                    <c:v>Mozzarella di Giovanni</c:v>
                  </c:pt>
                  <c:pt idx="181">
                    <c:v>Mozzarella di Giovanni</c:v>
                  </c:pt>
                  <c:pt idx="182">
                    <c:v>Mozzarella di Giovanni</c:v>
                  </c:pt>
                  <c:pt idx="183">
                    <c:v>Mozzarella di Giovanni</c:v>
                  </c:pt>
                  <c:pt idx="184">
                    <c:v>Northwoods Cranberry Sauce</c:v>
                  </c:pt>
                  <c:pt idx="185">
                    <c:v>Northwoods Cranberry Sauce</c:v>
                  </c:pt>
                  <c:pt idx="186">
                    <c:v>Northwoods Cranberry Sauce</c:v>
                  </c:pt>
                  <c:pt idx="187">
                    <c:v>Northwoods Cranberry Sauce</c:v>
                  </c:pt>
                  <c:pt idx="188">
                    <c:v>Northwoods Cranberry Sauce</c:v>
                  </c:pt>
                  <c:pt idx="189">
                    <c:v>Ravioli Angelo</c:v>
                  </c:pt>
                  <c:pt idx="190">
                    <c:v>Ravioli Angelo</c:v>
                  </c:pt>
                  <c:pt idx="191">
                    <c:v>Ravioli Angelo</c:v>
                  </c:pt>
                  <c:pt idx="192">
                    <c:v>Ravioli Angelo</c:v>
                  </c:pt>
                  <c:pt idx="193">
                    <c:v>Ravioli Angelo</c:v>
                  </c:pt>
                  <c:pt idx="194">
                    <c:v>Ravioli Angelo</c:v>
                  </c:pt>
                  <c:pt idx="195">
                    <c:v>Ravioli Angelo</c:v>
                  </c:pt>
                  <c:pt idx="196">
                    <c:v>Ravioli Angelo</c:v>
                  </c:pt>
                  <c:pt idx="197">
                    <c:v>Sasquatch Ale</c:v>
                  </c:pt>
                  <c:pt idx="198">
                    <c:v>Sasquatch Ale</c:v>
                  </c:pt>
                  <c:pt idx="199">
                    <c:v>Sasquatch Ale</c:v>
                  </c:pt>
                  <c:pt idx="200">
                    <c:v>Sasquatch Ale</c:v>
                  </c:pt>
                  <c:pt idx="201">
                    <c:v>Sasquatch Ale</c:v>
                  </c:pt>
                  <c:pt idx="202">
                    <c:v>Sasquatch Ale</c:v>
                  </c:pt>
                  <c:pt idx="203">
                    <c:v>Sir Rodney's Marmalade</c:v>
                  </c:pt>
                  <c:pt idx="204">
                    <c:v>Sir Rodney's Marmalade</c:v>
                  </c:pt>
                  <c:pt idx="205">
                    <c:v>Sir Rodney's Marmalade</c:v>
                  </c:pt>
                  <c:pt idx="206">
                    <c:v>Sir Rodney's Marmalade</c:v>
                  </c:pt>
                  <c:pt idx="207">
                    <c:v>Sir Rodney's Scones</c:v>
                  </c:pt>
                  <c:pt idx="208">
                    <c:v>Sir Rodney's Scones</c:v>
                  </c:pt>
                  <c:pt idx="209">
                    <c:v>Sir Rodney's Scones</c:v>
                  </c:pt>
                  <c:pt idx="210">
                    <c:v>Sir Rodney's Scones</c:v>
                  </c:pt>
                  <c:pt idx="211">
                    <c:v>Sir Rodney's Scones</c:v>
                  </c:pt>
                  <c:pt idx="212">
                    <c:v>Sir Rodney's Scones</c:v>
                  </c:pt>
                  <c:pt idx="213">
                    <c:v>Sir Rodney's Scones</c:v>
                  </c:pt>
                  <c:pt idx="214">
                    <c:v>Sir Rodney's Scones</c:v>
                  </c:pt>
                  <c:pt idx="215">
                    <c:v>Sir Rodney's Scones</c:v>
                  </c:pt>
                  <c:pt idx="216">
                    <c:v>Sir Rodney's Scones</c:v>
                  </c:pt>
                  <c:pt idx="217">
                    <c:v>Sir Rodney's Scones</c:v>
                  </c:pt>
                  <c:pt idx="218">
                    <c:v>Sir Rodney's Scones</c:v>
                  </c:pt>
                  <c:pt idx="219">
                    <c:v>Sir Rodney's Scones</c:v>
                  </c:pt>
                  <c:pt idx="220">
                    <c:v>Sir Rodney's Scones</c:v>
                  </c:pt>
                  <c:pt idx="221">
                    <c:v>Sir Rodney's Scones</c:v>
                  </c:pt>
                  <c:pt idx="222">
                    <c:v>Sir Rodney's Scones</c:v>
                  </c:pt>
                  <c:pt idx="223">
                    <c:v>Sir Rodney's Scones</c:v>
                  </c:pt>
                  <c:pt idx="224">
                    <c:v>Sir Rodney's Scones</c:v>
                  </c:pt>
                  <c:pt idx="225">
                    <c:v>Sir Rodney's Scones</c:v>
                  </c:pt>
                  <c:pt idx="226">
                    <c:v>Sir Rodney's Scones</c:v>
                  </c:pt>
                  <c:pt idx="227">
                    <c:v>Sir Rodney's Scones</c:v>
                  </c:pt>
                  <c:pt idx="228">
                    <c:v>Steeleye Stout</c:v>
                  </c:pt>
                  <c:pt idx="229">
                    <c:v>Steeleye Stout</c:v>
                  </c:pt>
                  <c:pt idx="230">
                    <c:v>Steeleye Stout</c:v>
                  </c:pt>
                  <c:pt idx="231">
                    <c:v>Steeleye Stout</c:v>
                  </c:pt>
                  <c:pt idx="232">
                    <c:v>Steeleye Stout</c:v>
                  </c:pt>
                  <c:pt idx="233">
                    <c:v>Steeleye Stout</c:v>
                  </c:pt>
                  <c:pt idx="234">
                    <c:v>Steeleye Stout</c:v>
                  </c:pt>
                  <c:pt idx="235">
                    <c:v>Steeleye Stout</c:v>
                  </c:pt>
                  <c:pt idx="236">
                    <c:v>Steeleye Stout</c:v>
                  </c:pt>
                  <c:pt idx="237">
                    <c:v>Steeleye Stout</c:v>
                  </c:pt>
                  <c:pt idx="238">
                    <c:v>Steeleye Stout</c:v>
                  </c:pt>
                  <c:pt idx="239">
                    <c:v>Steeleye Stout</c:v>
                  </c:pt>
                  <c:pt idx="240">
                    <c:v>Steeleye Stout</c:v>
                  </c:pt>
                  <c:pt idx="241">
                    <c:v>Steeleye Stout</c:v>
                  </c:pt>
                  <c:pt idx="242">
                    <c:v>Steeleye Stout</c:v>
                  </c:pt>
                  <c:pt idx="243">
                    <c:v>Teatime Chocolate Biscuits</c:v>
                  </c:pt>
                  <c:pt idx="244">
                    <c:v>Teatime Chocolate Biscuits</c:v>
                  </c:pt>
                  <c:pt idx="245">
                    <c:v>Teatime Chocolate Biscuits</c:v>
                  </c:pt>
                  <c:pt idx="246">
                    <c:v>Teatime Chocolate Biscuits</c:v>
                  </c:pt>
                  <c:pt idx="247">
                    <c:v>Teatime Chocolate Biscuits</c:v>
                  </c:pt>
                  <c:pt idx="248">
                    <c:v>Teatime Chocolate Biscuits</c:v>
                  </c:pt>
                  <c:pt idx="249">
                    <c:v>Teatime Chocolate Biscuits</c:v>
                  </c:pt>
                  <c:pt idx="250">
                    <c:v>Teatime Chocolate Biscuits</c:v>
                  </c:pt>
                  <c:pt idx="251">
                    <c:v>Teatime Chocolate Biscuits</c:v>
                  </c:pt>
                  <c:pt idx="252">
                    <c:v>Teatime Chocolate Biscuits</c:v>
                  </c:pt>
                  <c:pt idx="253">
                    <c:v>Teatime Chocolate Biscuits</c:v>
                  </c:pt>
                  <c:pt idx="254">
                    <c:v>Teatime Chocolate Biscuits</c:v>
                  </c:pt>
                  <c:pt idx="255">
                    <c:v>Teatime Chocolate Biscuits</c:v>
                  </c:pt>
                  <c:pt idx="256">
                    <c:v>Teatime Chocolate Biscuits</c:v>
                  </c:pt>
                  <c:pt idx="257">
                    <c:v>Teatime Chocolate Biscuits</c:v>
                  </c:pt>
                  <c:pt idx="258">
                    <c:v>Teatime Chocolate Biscuits</c:v>
                  </c:pt>
                  <c:pt idx="259">
                    <c:v>Teatime Chocolate Biscuits</c:v>
                  </c:pt>
                  <c:pt idx="260">
                    <c:v>Teatime Chocolate Biscuits</c:v>
                  </c:pt>
                  <c:pt idx="261">
                    <c:v>Uncle Bob's Organic Dried Pears</c:v>
                  </c:pt>
                  <c:pt idx="262">
                    <c:v>Uncle Bob's Organic Dried Pears</c:v>
                  </c:pt>
                  <c:pt idx="263">
                    <c:v>Uncle Bob's Organic Dried Pears</c:v>
                  </c:pt>
                  <c:pt idx="264">
                    <c:v>Uncle Bob's Organic Dried Pears</c:v>
                  </c:pt>
                  <c:pt idx="265">
                    <c:v>Uncle Bob's Organic Dried Pears</c:v>
                  </c:pt>
                  <c:pt idx="266">
                    <c:v>Uncle Bob's Organic Dried Pears</c:v>
                  </c:pt>
                  <c:pt idx="267">
                    <c:v>Uncle Bob's Organic Dried Pears</c:v>
                  </c:pt>
                  <c:pt idx="268">
                    <c:v>Uncle Bob's Organic Dried Pears</c:v>
                  </c:pt>
                  <c:pt idx="269">
                    <c:v>Uncle Bob's Organic Dried Pears</c:v>
                  </c:pt>
                  <c:pt idx="270">
                    <c:v>Veggie-spread</c:v>
                  </c:pt>
                  <c:pt idx="271">
                    <c:v>Veggie-spread</c:v>
                  </c:pt>
                  <c:pt idx="272">
                    <c:v>Veggie-spread</c:v>
                  </c:pt>
                  <c:pt idx="273">
                    <c:v>Veggie-spread</c:v>
                  </c:pt>
                  <c:pt idx="274">
                    <c:v>Veggie-spread</c:v>
                  </c:pt>
                  <c:pt idx="275">
                    <c:v>Veggie-spread</c:v>
                  </c:pt>
                  <c:pt idx="276">
                    <c:v>Veggie-spread</c:v>
                  </c:pt>
                </c:lvl>
              </c:multiLvlStrCache>
            </c:multiLvlStrRef>
          </c:cat>
          <c:val>
            <c:numRef>
              <c:f>Sheet13!$E$2:$E$278</c:f>
              <c:numCache>
                <c:formatCode>_([$$-409]* #,##0.00_);_([$$-409]* \(#,##0.00\);_([$$-409]* "-"??_);_(@_)</c:formatCode>
                <c:ptCount val="277"/>
                <c:pt idx="0">
                  <c:v>0</c:v>
                </c:pt>
                <c:pt idx="1">
                  <c:v>0</c:v>
                </c:pt>
                <c:pt idx="2">
                  <c:v>0</c:v>
                </c:pt>
                <c:pt idx="3">
                  <c:v>0</c:v>
                </c:pt>
                <c:pt idx="4">
                  <c:v>0</c:v>
                </c:pt>
                <c:pt idx="5">
                  <c:v>0</c:v>
                </c:pt>
                <c:pt idx="6">
                  <c:v>0</c:v>
                </c:pt>
                <c:pt idx="7">
                  <c:v>936</c:v>
                </c:pt>
                <c:pt idx="8">
                  <c:v>0</c:v>
                </c:pt>
                <c:pt idx="9">
                  <c:v>0</c:v>
                </c:pt>
                <c:pt idx="10">
                  <c:v>3900</c:v>
                </c:pt>
                <c:pt idx="11">
                  <c:v>0</c:v>
                </c:pt>
                <c:pt idx="12">
                  <c:v>0</c:v>
                </c:pt>
                <c:pt idx="13">
                  <c:v>0</c:v>
                </c:pt>
                <c:pt idx="14">
                  <c:v>0</c:v>
                </c:pt>
                <c:pt idx="15">
                  <c:v>0</c:v>
                </c:pt>
                <c:pt idx="16">
                  <c:v>0</c:v>
                </c:pt>
                <c:pt idx="17">
                  <c:v>0</c:v>
                </c:pt>
                <c:pt idx="18">
                  <c:v>140</c:v>
                </c:pt>
                <c:pt idx="19">
                  <c:v>0</c:v>
                </c:pt>
                <c:pt idx="20">
                  <c:v>0</c:v>
                </c:pt>
                <c:pt idx="21">
                  <c:v>524.4</c:v>
                </c:pt>
                <c:pt idx="22">
                  <c:v>0</c:v>
                </c:pt>
                <c:pt idx="23">
                  <c:v>0</c:v>
                </c:pt>
                <c:pt idx="24">
                  <c:v>0</c:v>
                </c:pt>
                <c:pt idx="25">
                  <c:v>1104</c:v>
                </c:pt>
                <c:pt idx="26">
                  <c:v>0</c:v>
                </c:pt>
                <c:pt idx="27">
                  <c:v>0</c:v>
                </c:pt>
                <c:pt idx="28">
                  <c:v>0</c:v>
                </c:pt>
                <c:pt idx="29">
                  <c:v>368</c:v>
                </c:pt>
                <c:pt idx="30">
                  <c:v>0</c:v>
                </c:pt>
                <c:pt idx="31">
                  <c:v>419.52</c:v>
                </c:pt>
                <c:pt idx="32">
                  <c:v>1223.5999999999999</c:v>
                </c:pt>
                <c:pt idx="33">
                  <c:v>0</c:v>
                </c:pt>
                <c:pt idx="34">
                  <c:v>772.8</c:v>
                </c:pt>
                <c:pt idx="35">
                  <c:v>0</c:v>
                </c:pt>
                <c:pt idx="36">
                  <c:v>0</c:v>
                </c:pt>
                <c:pt idx="37">
                  <c:v>340</c:v>
                </c:pt>
                <c:pt idx="38">
                  <c:v>0</c:v>
                </c:pt>
                <c:pt idx="39">
                  <c:v>680</c:v>
                </c:pt>
                <c:pt idx="40">
                  <c:v>0</c:v>
                </c:pt>
                <c:pt idx="41">
                  <c:v>0</c:v>
                </c:pt>
                <c:pt idx="42">
                  <c:v>0</c:v>
                </c:pt>
                <c:pt idx="43">
                  <c:v>612</c:v>
                </c:pt>
                <c:pt idx="44">
                  <c:v>0</c:v>
                </c:pt>
                <c:pt idx="45">
                  <c:v>0</c:v>
                </c:pt>
                <c:pt idx="46">
                  <c:v>0</c:v>
                </c:pt>
                <c:pt idx="47">
                  <c:v>2261</c:v>
                </c:pt>
                <c:pt idx="48">
                  <c:v>1020</c:v>
                </c:pt>
                <c:pt idx="49">
                  <c:v>0</c:v>
                </c:pt>
                <c:pt idx="50">
                  <c:v>1776.5</c:v>
                </c:pt>
                <c:pt idx="51">
                  <c:v>0</c:v>
                </c:pt>
                <c:pt idx="52">
                  <c:v>0</c:v>
                </c:pt>
                <c:pt idx="53">
                  <c:v>2380</c:v>
                </c:pt>
                <c:pt idx="54">
                  <c:v>0</c:v>
                </c:pt>
                <c:pt idx="55">
                  <c:v>510</c:v>
                </c:pt>
                <c:pt idx="56">
                  <c:v>237.6</c:v>
                </c:pt>
                <c:pt idx="57">
                  <c:v>0</c:v>
                </c:pt>
                <c:pt idx="58">
                  <c:v>0</c:v>
                </c:pt>
                <c:pt idx="59">
                  <c:v>0</c:v>
                </c:pt>
                <c:pt idx="60">
                  <c:v>0</c:v>
                </c:pt>
                <c:pt idx="61">
                  <c:v>198</c:v>
                </c:pt>
                <c:pt idx="62">
                  <c:v>0</c:v>
                </c:pt>
                <c:pt idx="63">
                  <c:v>0</c:v>
                </c:pt>
                <c:pt idx="64">
                  <c:v>352</c:v>
                </c:pt>
                <c:pt idx="65">
                  <c:v>550</c:v>
                </c:pt>
                <c:pt idx="66">
                  <c:v>288.22000000000003</c:v>
                </c:pt>
                <c:pt idx="67">
                  <c:v>0</c:v>
                </c:pt>
                <c:pt idx="68">
                  <c:v>0</c:v>
                </c:pt>
                <c:pt idx="69">
                  <c:v>0</c:v>
                </c:pt>
                <c:pt idx="70">
                  <c:v>0</c:v>
                </c:pt>
                <c:pt idx="71">
                  <c:v>63</c:v>
                </c:pt>
                <c:pt idx="72">
                  <c:v>0</c:v>
                </c:pt>
                <c:pt idx="73">
                  <c:v>35</c:v>
                </c:pt>
                <c:pt idx="74">
                  <c:v>0</c:v>
                </c:pt>
                <c:pt idx="75">
                  <c:v>168</c:v>
                </c:pt>
                <c:pt idx="76">
                  <c:v>23.8</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187.5</c:v>
                </c:pt>
                <c:pt idx="94">
                  <c:v>0</c:v>
                </c:pt>
                <c:pt idx="95">
                  <c:v>237.5</c:v>
                </c:pt>
                <c:pt idx="96">
                  <c:v>0</c:v>
                </c:pt>
                <c:pt idx="97">
                  <c:v>0</c:v>
                </c:pt>
                <c:pt idx="98">
                  <c:v>0</c:v>
                </c:pt>
                <c:pt idx="99">
                  <c:v>0</c:v>
                </c:pt>
                <c:pt idx="100">
                  <c:v>0</c:v>
                </c:pt>
                <c:pt idx="101">
                  <c:v>0</c:v>
                </c:pt>
                <c:pt idx="102">
                  <c:v>0</c:v>
                </c:pt>
                <c:pt idx="103">
                  <c:v>0</c:v>
                </c:pt>
                <c:pt idx="104">
                  <c:v>90</c:v>
                </c:pt>
                <c:pt idx="105">
                  <c:v>0</c:v>
                </c:pt>
                <c:pt idx="106">
                  <c:v>0</c:v>
                </c:pt>
                <c:pt idx="107">
                  <c:v>1750</c:v>
                </c:pt>
                <c:pt idx="108">
                  <c:v>0</c:v>
                </c:pt>
                <c:pt idx="109">
                  <c:v>0</c:v>
                </c:pt>
                <c:pt idx="110">
                  <c:v>0</c:v>
                </c:pt>
                <c:pt idx="111">
                  <c:v>0</c:v>
                </c:pt>
                <c:pt idx="112">
                  <c:v>0</c:v>
                </c:pt>
                <c:pt idx="113">
                  <c:v>0</c:v>
                </c:pt>
                <c:pt idx="114">
                  <c:v>0</c:v>
                </c:pt>
                <c:pt idx="115">
                  <c:v>0</c:v>
                </c:pt>
                <c:pt idx="116">
                  <c:v>0</c:v>
                </c:pt>
                <c:pt idx="117">
                  <c:v>920</c:v>
                </c:pt>
                <c:pt idx="118">
                  <c:v>276</c:v>
                </c:pt>
                <c:pt idx="119">
                  <c:v>0</c:v>
                </c:pt>
                <c:pt idx="120">
                  <c:v>0</c:v>
                </c:pt>
                <c:pt idx="121">
                  <c:v>0</c:v>
                </c:pt>
                <c:pt idx="122">
                  <c:v>0</c:v>
                </c:pt>
                <c:pt idx="123">
                  <c:v>0</c:v>
                </c:pt>
                <c:pt idx="124">
                  <c:v>0</c:v>
                </c:pt>
                <c:pt idx="125">
                  <c:v>0</c:v>
                </c:pt>
                <c:pt idx="126">
                  <c:v>38.6</c:v>
                </c:pt>
                <c:pt idx="127">
                  <c:v>0</c:v>
                </c:pt>
                <c:pt idx="128">
                  <c:v>0</c:v>
                </c:pt>
                <c:pt idx="129">
                  <c:v>0</c:v>
                </c:pt>
                <c:pt idx="130">
                  <c:v>0</c:v>
                </c:pt>
                <c:pt idx="131">
                  <c:v>154.4</c:v>
                </c:pt>
                <c:pt idx="132">
                  <c:v>1389.6</c:v>
                </c:pt>
                <c:pt idx="133">
                  <c:v>0</c:v>
                </c:pt>
                <c:pt idx="134">
                  <c:v>0</c:v>
                </c:pt>
                <c:pt idx="135">
                  <c:v>0</c:v>
                </c:pt>
                <c:pt idx="136">
                  <c:v>0</c:v>
                </c:pt>
                <c:pt idx="137">
                  <c:v>350</c:v>
                </c:pt>
                <c:pt idx="138">
                  <c:v>0</c:v>
                </c:pt>
                <c:pt idx="139">
                  <c:v>0</c:v>
                </c:pt>
                <c:pt idx="140">
                  <c:v>0</c:v>
                </c:pt>
                <c:pt idx="141">
                  <c:v>0</c:v>
                </c:pt>
                <c:pt idx="142">
                  <c:v>0</c:v>
                </c:pt>
                <c:pt idx="143">
                  <c:v>0</c:v>
                </c:pt>
                <c:pt idx="144">
                  <c:v>0</c:v>
                </c:pt>
                <c:pt idx="145">
                  <c:v>0</c:v>
                </c:pt>
                <c:pt idx="146">
                  <c:v>0</c:v>
                </c:pt>
                <c:pt idx="147">
                  <c:v>0</c:v>
                </c:pt>
                <c:pt idx="148">
                  <c:v>0</c:v>
                </c:pt>
                <c:pt idx="149">
                  <c:v>252.6</c:v>
                </c:pt>
                <c:pt idx="150">
                  <c:v>268.39</c:v>
                </c:pt>
                <c:pt idx="151">
                  <c:v>0</c:v>
                </c:pt>
                <c:pt idx="152">
                  <c:v>0</c:v>
                </c:pt>
                <c:pt idx="153">
                  <c:v>0</c:v>
                </c:pt>
                <c:pt idx="154">
                  <c:v>442.05</c:v>
                </c:pt>
                <c:pt idx="155">
                  <c:v>0</c:v>
                </c:pt>
                <c:pt idx="156">
                  <c:v>202.08</c:v>
                </c:pt>
                <c:pt idx="157">
                  <c:v>0</c:v>
                </c:pt>
                <c:pt idx="158">
                  <c:v>0</c:v>
                </c:pt>
                <c:pt idx="159">
                  <c:v>0</c:v>
                </c:pt>
                <c:pt idx="160">
                  <c:v>210.5</c:v>
                </c:pt>
                <c:pt idx="161">
                  <c:v>0</c:v>
                </c:pt>
                <c:pt idx="162">
                  <c:v>68</c:v>
                </c:pt>
                <c:pt idx="163">
                  <c:v>0</c:v>
                </c:pt>
                <c:pt idx="164">
                  <c:v>0</c:v>
                </c:pt>
                <c:pt idx="165">
                  <c:v>0</c:v>
                </c:pt>
                <c:pt idx="166">
                  <c:v>0</c:v>
                </c:pt>
                <c:pt idx="167">
                  <c:v>0</c:v>
                </c:pt>
                <c:pt idx="168">
                  <c:v>0</c:v>
                </c:pt>
                <c:pt idx="169">
                  <c:v>0</c:v>
                </c:pt>
                <c:pt idx="170">
                  <c:v>0</c:v>
                </c:pt>
                <c:pt idx="171">
                  <c:v>0</c:v>
                </c:pt>
                <c:pt idx="172">
                  <c:v>0</c:v>
                </c:pt>
                <c:pt idx="173">
                  <c:v>0</c:v>
                </c:pt>
                <c:pt idx="174">
                  <c:v>0</c:v>
                </c:pt>
                <c:pt idx="175">
                  <c:v>2088</c:v>
                </c:pt>
                <c:pt idx="176">
                  <c:v>0</c:v>
                </c:pt>
                <c:pt idx="177">
                  <c:v>522</c:v>
                </c:pt>
                <c:pt idx="178">
                  <c:v>0</c:v>
                </c:pt>
                <c:pt idx="179">
                  <c:v>0</c:v>
                </c:pt>
                <c:pt idx="180">
                  <c:v>0</c:v>
                </c:pt>
                <c:pt idx="181">
                  <c:v>417.6</c:v>
                </c:pt>
                <c:pt idx="182">
                  <c:v>0</c:v>
                </c:pt>
                <c:pt idx="183">
                  <c:v>0</c:v>
                </c:pt>
                <c:pt idx="184">
                  <c:v>0</c:v>
                </c:pt>
                <c:pt idx="185">
                  <c:v>0</c:v>
                </c:pt>
                <c:pt idx="186">
                  <c:v>0</c:v>
                </c:pt>
                <c:pt idx="187">
                  <c:v>0</c:v>
                </c:pt>
                <c:pt idx="188">
                  <c:v>0</c:v>
                </c:pt>
                <c:pt idx="189">
                  <c:v>0</c:v>
                </c:pt>
                <c:pt idx="190">
                  <c:v>0</c:v>
                </c:pt>
                <c:pt idx="191">
                  <c:v>0</c:v>
                </c:pt>
                <c:pt idx="192">
                  <c:v>0</c:v>
                </c:pt>
                <c:pt idx="193">
                  <c:v>0</c:v>
                </c:pt>
                <c:pt idx="194">
                  <c:v>390</c:v>
                </c:pt>
                <c:pt idx="195">
                  <c:v>0</c:v>
                </c:pt>
                <c:pt idx="196">
                  <c:v>0</c:v>
                </c:pt>
                <c:pt idx="197">
                  <c:v>0</c:v>
                </c:pt>
                <c:pt idx="198">
                  <c:v>0</c:v>
                </c:pt>
                <c:pt idx="199">
                  <c:v>0</c:v>
                </c:pt>
                <c:pt idx="200">
                  <c:v>0</c:v>
                </c:pt>
                <c:pt idx="201">
                  <c:v>0</c:v>
                </c:pt>
                <c:pt idx="202">
                  <c:v>0</c:v>
                </c:pt>
                <c:pt idx="203">
                  <c:v>0</c:v>
                </c:pt>
                <c:pt idx="204">
                  <c:v>1701</c:v>
                </c:pt>
                <c:pt idx="205">
                  <c:v>1360.8</c:v>
                </c:pt>
                <c:pt idx="206">
                  <c:v>0</c:v>
                </c:pt>
                <c:pt idx="207">
                  <c:v>80</c:v>
                </c:pt>
                <c:pt idx="208">
                  <c:v>0</c:v>
                </c:pt>
                <c:pt idx="209">
                  <c:v>0</c:v>
                </c:pt>
                <c:pt idx="210">
                  <c:v>60</c:v>
                </c:pt>
                <c:pt idx="211">
                  <c:v>0</c:v>
                </c:pt>
                <c:pt idx="212">
                  <c:v>0</c:v>
                </c:pt>
                <c:pt idx="213">
                  <c:v>225</c:v>
                </c:pt>
                <c:pt idx="214">
                  <c:v>0</c:v>
                </c:pt>
                <c:pt idx="215">
                  <c:v>108</c:v>
                </c:pt>
                <c:pt idx="216">
                  <c:v>0</c:v>
                </c:pt>
                <c:pt idx="217">
                  <c:v>0</c:v>
                </c:pt>
                <c:pt idx="218">
                  <c:v>0</c:v>
                </c:pt>
                <c:pt idx="219">
                  <c:v>420</c:v>
                </c:pt>
                <c:pt idx="220">
                  <c:v>0</c:v>
                </c:pt>
                <c:pt idx="221">
                  <c:v>0</c:v>
                </c:pt>
                <c:pt idx="222">
                  <c:v>0</c:v>
                </c:pt>
                <c:pt idx="223">
                  <c:v>600</c:v>
                </c:pt>
                <c:pt idx="224">
                  <c:v>0</c:v>
                </c:pt>
                <c:pt idx="225">
                  <c:v>240</c:v>
                </c:pt>
                <c:pt idx="226">
                  <c:v>0</c:v>
                </c:pt>
                <c:pt idx="227">
                  <c:v>0</c:v>
                </c:pt>
                <c:pt idx="228">
                  <c:v>0</c:v>
                </c:pt>
                <c:pt idx="229">
                  <c:v>0</c:v>
                </c:pt>
                <c:pt idx="230">
                  <c:v>0</c:v>
                </c:pt>
                <c:pt idx="231">
                  <c:v>0</c:v>
                </c:pt>
                <c:pt idx="232">
                  <c:v>405</c:v>
                </c:pt>
                <c:pt idx="233">
                  <c:v>0</c:v>
                </c:pt>
                <c:pt idx="234">
                  <c:v>486</c:v>
                </c:pt>
                <c:pt idx="235">
                  <c:v>0</c:v>
                </c:pt>
                <c:pt idx="236">
                  <c:v>72</c:v>
                </c:pt>
                <c:pt idx="237">
                  <c:v>0</c:v>
                </c:pt>
                <c:pt idx="238">
                  <c:v>0</c:v>
                </c:pt>
                <c:pt idx="239">
                  <c:v>360</c:v>
                </c:pt>
                <c:pt idx="240">
                  <c:v>0</c:v>
                </c:pt>
                <c:pt idx="241">
                  <c:v>0</c:v>
                </c:pt>
                <c:pt idx="242">
                  <c:v>0</c:v>
                </c:pt>
                <c:pt idx="243">
                  <c:v>0</c:v>
                </c:pt>
                <c:pt idx="244">
                  <c:v>124.2</c:v>
                </c:pt>
                <c:pt idx="245">
                  <c:v>0</c:v>
                </c:pt>
                <c:pt idx="246">
                  <c:v>0</c:v>
                </c:pt>
                <c:pt idx="247">
                  <c:v>248.4</c:v>
                </c:pt>
                <c:pt idx="248">
                  <c:v>46</c:v>
                </c:pt>
                <c:pt idx="249">
                  <c:v>0</c:v>
                </c:pt>
                <c:pt idx="250">
                  <c:v>276</c:v>
                </c:pt>
                <c:pt idx="251">
                  <c:v>0</c:v>
                </c:pt>
                <c:pt idx="252">
                  <c:v>0</c:v>
                </c:pt>
                <c:pt idx="253">
                  <c:v>0</c:v>
                </c:pt>
                <c:pt idx="254">
                  <c:v>0</c:v>
                </c:pt>
                <c:pt idx="255">
                  <c:v>0</c:v>
                </c:pt>
                <c:pt idx="256">
                  <c:v>0</c:v>
                </c:pt>
                <c:pt idx="257">
                  <c:v>64.400000000000006</c:v>
                </c:pt>
                <c:pt idx="258">
                  <c:v>82.8</c:v>
                </c:pt>
                <c:pt idx="259">
                  <c:v>0</c:v>
                </c:pt>
                <c:pt idx="260">
                  <c:v>0</c:v>
                </c:pt>
                <c:pt idx="261">
                  <c:v>0</c:v>
                </c:pt>
                <c:pt idx="262">
                  <c:v>0</c:v>
                </c:pt>
                <c:pt idx="263">
                  <c:v>1050</c:v>
                </c:pt>
                <c:pt idx="264">
                  <c:v>0</c:v>
                </c:pt>
                <c:pt idx="265">
                  <c:v>0</c:v>
                </c:pt>
                <c:pt idx="266">
                  <c:v>0</c:v>
                </c:pt>
                <c:pt idx="267">
                  <c:v>1350</c:v>
                </c:pt>
                <c:pt idx="268">
                  <c:v>300</c:v>
                </c:pt>
                <c:pt idx="269">
                  <c:v>0</c:v>
                </c:pt>
                <c:pt idx="270">
                  <c:v>0</c:v>
                </c:pt>
                <c:pt idx="271">
                  <c:v>0</c:v>
                </c:pt>
                <c:pt idx="272">
                  <c:v>0</c:v>
                </c:pt>
                <c:pt idx="273">
                  <c:v>0</c:v>
                </c:pt>
                <c:pt idx="274">
                  <c:v>0</c:v>
                </c:pt>
                <c:pt idx="275">
                  <c:v>0</c:v>
                </c:pt>
                <c:pt idx="276">
                  <c:v>842.88</c:v>
                </c:pt>
              </c:numCache>
            </c:numRef>
          </c:val>
          <c:extLst>
            <c:ext xmlns:c16="http://schemas.microsoft.com/office/drawing/2014/chart" uri="{C3380CC4-5D6E-409C-BE32-E72D297353CC}">
              <c16:uniqueId val="{00000002-6469-407E-9C4B-4CC4314D4249}"/>
            </c:ext>
          </c:extLst>
        </c:ser>
        <c:ser>
          <c:idx val="3"/>
          <c:order val="3"/>
          <c:spPr>
            <a:solidFill>
              <a:schemeClr val="accent4"/>
            </a:solidFill>
            <a:ln>
              <a:noFill/>
            </a:ln>
            <a:effectLst/>
          </c:spPr>
          <c:invertIfNegative val="0"/>
          <c:cat>
            <c:multiLvlStrRef>
              <c:f>Sheet13!$A$2:$B$278</c:f>
              <c:multiLvlStrCache>
                <c:ptCount val="277"/>
                <c:lvl>
                  <c:pt idx="0">
                    <c:v>ANTON</c:v>
                  </c:pt>
                  <c:pt idx="1">
                    <c:v>BERGS</c:v>
                  </c:pt>
                  <c:pt idx="2">
                    <c:v>BOLID</c:v>
                  </c:pt>
                  <c:pt idx="3">
                    <c:v>BOTTM</c:v>
                  </c:pt>
                  <c:pt idx="4">
                    <c:v>ERNSH</c:v>
                  </c:pt>
                  <c:pt idx="5">
                    <c:v>GODOS</c:v>
                  </c:pt>
                  <c:pt idx="6">
                    <c:v>HUNGC</c:v>
                  </c:pt>
                  <c:pt idx="7">
                    <c:v>PICCO</c:v>
                  </c:pt>
                  <c:pt idx="8">
                    <c:v>RATTC</c:v>
                  </c:pt>
                  <c:pt idx="9">
                    <c:v>REGGC</c:v>
                  </c:pt>
                  <c:pt idx="10">
                    <c:v>SAVEA</c:v>
                  </c:pt>
                  <c:pt idx="11">
                    <c:v>SEVES</c:v>
                  </c:pt>
                  <c:pt idx="12">
                    <c:v>WHITC</c:v>
                  </c:pt>
                  <c:pt idx="13">
                    <c:v>ALFKI</c:v>
                  </c:pt>
                  <c:pt idx="14">
                    <c:v>BOTTM</c:v>
                  </c:pt>
                  <c:pt idx="15">
                    <c:v>ERNSH</c:v>
                  </c:pt>
                  <c:pt idx="16">
                    <c:v>LINOD</c:v>
                  </c:pt>
                  <c:pt idx="17">
                    <c:v>QUICK</c:v>
                  </c:pt>
                  <c:pt idx="18">
                    <c:v>VAFFE</c:v>
                  </c:pt>
                  <c:pt idx="19">
                    <c:v>ANTON</c:v>
                  </c:pt>
                  <c:pt idx="20">
                    <c:v>BERGS</c:v>
                  </c:pt>
                  <c:pt idx="21">
                    <c:v>BONAP</c:v>
                  </c:pt>
                  <c:pt idx="22">
                    <c:v>BOTTM</c:v>
                  </c:pt>
                  <c:pt idx="23">
                    <c:v>BSBEV</c:v>
                  </c:pt>
                  <c:pt idx="24">
                    <c:v>FRANS</c:v>
                  </c:pt>
                  <c:pt idx="25">
                    <c:v>HILAA</c:v>
                  </c:pt>
                  <c:pt idx="26">
                    <c:v>LAZYK</c:v>
                  </c:pt>
                  <c:pt idx="27">
                    <c:v>LEHMS</c:v>
                  </c:pt>
                  <c:pt idx="28">
                    <c:v>MAGAA</c:v>
                  </c:pt>
                  <c:pt idx="29">
                    <c:v>OTTIK</c:v>
                  </c:pt>
                  <c:pt idx="30">
                    <c:v>PERIC</c:v>
                  </c:pt>
                  <c:pt idx="31">
                    <c:v>QUEEN</c:v>
                  </c:pt>
                  <c:pt idx="32">
                    <c:v>QUICK</c:v>
                  </c:pt>
                  <c:pt idx="33">
                    <c:v>RANCH</c:v>
                  </c:pt>
                  <c:pt idx="34">
                    <c:v>SAVEA</c:v>
                  </c:pt>
                  <c:pt idx="35">
                    <c:v>TRAIH</c:v>
                  </c:pt>
                  <c:pt idx="36">
                    <c:v>VAFFE</c:v>
                  </c:pt>
                  <c:pt idx="37">
                    <c:v>ANATR</c:v>
                  </c:pt>
                  <c:pt idx="38">
                    <c:v>AROUT</c:v>
                  </c:pt>
                  <c:pt idx="39">
                    <c:v>BERGS</c:v>
                  </c:pt>
                  <c:pt idx="40">
                    <c:v>BOTTM</c:v>
                  </c:pt>
                  <c:pt idx="41">
                    <c:v>CHOPS</c:v>
                  </c:pt>
                  <c:pt idx="42">
                    <c:v>FAMIA</c:v>
                  </c:pt>
                  <c:pt idx="43">
                    <c:v>FRANK</c:v>
                  </c:pt>
                  <c:pt idx="44">
                    <c:v>FURIB</c:v>
                  </c:pt>
                  <c:pt idx="45">
                    <c:v>GOURL</c:v>
                  </c:pt>
                  <c:pt idx="46">
                    <c:v>LEHMS</c:v>
                  </c:pt>
                  <c:pt idx="47">
                    <c:v>MEREP</c:v>
                  </c:pt>
                  <c:pt idx="48">
                    <c:v>OTTIK</c:v>
                  </c:pt>
                  <c:pt idx="49">
                    <c:v>QUEEN</c:v>
                  </c:pt>
                  <c:pt idx="50">
                    <c:v>QUICK</c:v>
                  </c:pt>
                  <c:pt idx="51">
                    <c:v>RICAR</c:v>
                  </c:pt>
                  <c:pt idx="52">
                    <c:v>RICSU</c:v>
                  </c:pt>
                  <c:pt idx="53">
                    <c:v>SAVEA</c:v>
                  </c:pt>
                  <c:pt idx="54">
                    <c:v>WARTH</c:v>
                  </c:pt>
                  <c:pt idx="55">
                    <c:v>WOLZA</c:v>
                  </c:pt>
                  <c:pt idx="56">
                    <c:v>BERGS</c:v>
                  </c:pt>
                  <c:pt idx="57">
                    <c:v>BONAP</c:v>
                  </c:pt>
                  <c:pt idx="58">
                    <c:v>EASTC</c:v>
                  </c:pt>
                  <c:pt idx="59">
                    <c:v>FOLKO</c:v>
                  </c:pt>
                  <c:pt idx="60">
                    <c:v>FURIB</c:v>
                  </c:pt>
                  <c:pt idx="61">
                    <c:v>MAGAA</c:v>
                  </c:pt>
                  <c:pt idx="62">
                    <c:v>QUEEN</c:v>
                  </c:pt>
                  <c:pt idx="63">
                    <c:v>QUICK</c:v>
                  </c:pt>
                  <c:pt idx="64">
                    <c:v>TRADH</c:v>
                  </c:pt>
                  <c:pt idx="65">
                    <c:v>WARTH</c:v>
                  </c:pt>
                  <c:pt idx="66">
                    <c:v>MAGAA</c:v>
                  </c:pt>
                  <c:pt idx="67">
                    <c:v>THEBI</c:v>
                  </c:pt>
                  <c:pt idx="68">
                    <c:v>AROUT</c:v>
                  </c:pt>
                  <c:pt idx="69">
                    <c:v>BERGS</c:v>
                  </c:pt>
                  <c:pt idx="70">
                    <c:v>BLONP</c:v>
                  </c:pt>
                  <c:pt idx="71">
                    <c:v>DUMON</c:v>
                  </c:pt>
                  <c:pt idx="72">
                    <c:v>FAMIA</c:v>
                  </c:pt>
                  <c:pt idx="73">
                    <c:v>LAUGB</c:v>
                  </c:pt>
                  <c:pt idx="74">
                    <c:v>NORTS</c:v>
                  </c:pt>
                  <c:pt idx="75">
                    <c:v>OLDWO</c:v>
                  </c:pt>
                  <c:pt idx="76">
                    <c:v>REGGC</c:v>
                  </c:pt>
                  <c:pt idx="77">
                    <c:v>RICAR</c:v>
                  </c:pt>
                  <c:pt idx="78">
                    <c:v>RICSU</c:v>
                  </c:pt>
                  <c:pt idx="79">
                    <c:v>TOMSP</c:v>
                  </c:pt>
                  <c:pt idx="80">
                    <c:v>VAFFE</c:v>
                  </c:pt>
                  <c:pt idx="81">
                    <c:v>VINET</c:v>
                  </c:pt>
                  <c:pt idx="82">
                    <c:v>AROUT</c:v>
                  </c:pt>
                  <c:pt idx="83">
                    <c:v>BLONP</c:v>
                  </c:pt>
                  <c:pt idx="84">
                    <c:v>BONAP</c:v>
                  </c:pt>
                  <c:pt idx="85">
                    <c:v>CACTU</c:v>
                  </c:pt>
                  <c:pt idx="86">
                    <c:v>ERNSH</c:v>
                  </c:pt>
                  <c:pt idx="87">
                    <c:v>FOLKO</c:v>
                  </c:pt>
                  <c:pt idx="88">
                    <c:v>GOURL</c:v>
                  </c:pt>
                  <c:pt idx="89">
                    <c:v>HANAR</c:v>
                  </c:pt>
                  <c:pt idx="90">
                    <c:v>HILAA</c:v>
                  </c:pt>
                  <c:pt idx="91">
                    <c:v>HUNGO</c:v>
                  </c:pt>
                  <c:pt idx="92">
                    <c:v>LEHMS</c:v>
                  </c:pt>
                  <c:pt idx="93">
                    <c:v>OLDWO</c:v>
                  </c:pt>
                  <c:pt idx="94">
                    <c:v>PICCO</c:v>
                  </c:pt>
                  <c:pt idx="95">
                    <c:v>QUEEN</c:v>
                  </c:pt>
                  <c:pt idx="96">
                    <c:v>QUICK</c:v>
                  </c:pt>
                  <c:pt idx="97">
                    <c:v>RATTC</c:v>
                  </c:pt>
                  <c:pt idx="98">
                    <c:v>RICSU</c:v>
                  </c:pt>
                  <c:pt idx="99">
                    <c:v>SAVEA</c:v>
                  </c:pt>
                  <c:pt idx="100">
                    <c:v>SUPRD</c:v>
                  </c:pt>
                  <c:pt idx="101">
                    <c:v>TOMSP</c:v>
                  </c:pt>
                  <c:pt idx="102">
                    <c:v>TORTU</c:v>
                  </c:pt>
                  <c:pt idx="103">
                    <c:v>TRADH</c:v>
                  </c:pt>
                  <c:pt idx="104">
                    <c:v>WANDK</c:v>
                  </c:pt>
                  <c:pt idx="105">
                    <c:v>WARTH</c:v>
                  </c:pt>
                  <c:pt idx="106">
                    <c:v>GOURL</c:v>
                  </c:pt>
                  <c:pt idx="107">
                    <c:v>MEREP</c:v>
                  </c:pt>
                  <c:pt idx="108">
                    <c:v>ANTON</c:v>
                  </c:pt>
                  <c:pt idx="109">
                    <c:v>BERGS</c:v>
                  </c:pt>
                  <c:pt idx="110">
                    <c:v>FURIB</c:v>
                  </c:pt>
                  <c:pt idx="111">
                    <c:v>KOENE</c:v>
                  </c:pt>
                  <c:pt idx="112">
                    <c:v>MAISD</c:v>
                  </c:pt>
                  <c:pt idx="113">
                    <c:v>OLDWO</c:v>
                  </c:pt>
                  <c:pt idx="114">
                    <c:v>PICCO</c:v>
                  </c:pt>
                  <c:pt idx="115">
                    <c:v>QUICK</c:v>
                  </c:pt>
                  <c:pt idx="116">
                    <c:v>SUPRD</c:v>
                  </c:pt>
                  <c:pt idx="117">
                    <c:v>WELLI</c:v>
                  </c:pt>
                  <c:pt idx="118">
                    <c:v>WILMK</c:v>
                  </c:pt>
                  <c:pt idx="119">
                    <c:v>AROUT</c:v>
                  </c:pt>
                  <c:pt idx="120">
                    <c:v>BERGS</c:v>
                  </c:pt>
                  <c:pt idx="121">
                    <c:v>BLONP</c:v>
                  </c:pt>
                  <c:pt idx="122">
                    <c:v>BOTTM</c:v>
                  </c:pt>
                  <c:pt idx="123">
                    <c:v>CACTU</c:v>
                  </c:pt>
                  <c:pt idx="124">
                    <c:v>FAMIA</c:v>
                  </c:pt>
                  <c:pt idx="125">
                    <c:v>FRANK</c:v>
                  </c:pt>
                  <c:pt idx="126">
                    <c:v>GOURL</c:v>
                  </c:pt>
                  <c:pt idx="127">
                    <c:v>HUNGO</c:v>
                  </c:pt>
                  <c:pt idx="128">
                    <c:v>LAUGB</c:v>
                  </c:pt>
                  <c:pt idx="129">
                    <c:v>OTTIK</c:v>
                  </c:pt>
                  <c:pt idx="130">
                    <c:v>PICCO</c:v>
                  </c:pt>
                  <c:pt idx="131">
                    <c:v>REGGC</c:v>
                  </c:pt>
                  <c:pt idx="132">
                    <c:v>SAVEA</c:v>
                  </c:pt>
                  <c:pt idx="133">
                    <c:v>SEVES</c:v>
                  </c:pt>
                  <c:pt idx="134">
                    <c:v>TOMSP</c:v>
                  </c:pt>
                  <c:pt idx="135">
                    <c:v>VAFFE</c:v>
                  </c:pt>
                  <c:pt idx="136">
                    <c:v>VINET</c:v>
                  </c:pt>
                  <c:pt idx="137">
                    <c:v>FRANK</c:v>
                  </c:pt>
                  <c:pt idx="138">
                    <c:v>LONEP</c:v>
                  </c:pt>
                  <c:pt idx="139">
                    <c:v>PERIC</c:v>
                  </c:pt>
                  <c:pt idx="140">
                    <c:v>THECR</c:v>
                  </c:pt>
                  <c:pt idx="141">
                    <c:v>FRANS</c:v>
                  </c:pt>
                  <c:pt idx="142">
                    <c:v>HILAA</c:v>
                  </c:pt>
                  <c:pt idx="143">
                    <c:v>MEREP</c:v>
                  </c:pt>
                  <c:pt idx="144">
                    <c:v>QUICK</c:v>
                  </c:pt>
                  <c:pt idx="145">
                    <c:v>VICTE</c:v>
                  </c:pt>
                  <c:pt idx="146">
                    <c:v>WARTH</c:v>
                  </c:pt>
                  <c:pt idx="147">
                    <c:v>BONAP</c:v>
                  </c:pt>
                  <c:pt idx="148">
                    <c:v>ERNSH</c:v>
                  </c:pt>
                  <c:pt idx="149">
                    <c:v>FRANR</c:v>
                  </c:pt>
                  <c:pt idx="150">
                    <c:v>FURIB</c:v>
                  </c:pt>
                  <c:pt idx="151">
                    <c:v>HANAR</c:v>
                  </c:pt>
                  <c:pt idx="152">
                    <c:v>HUNGO</c:v>
                  </c:pt>
                  <c:pt idx="153">
                    <c:v>LAMAI</c:v>
                  </c:pt>
                  <c:pt idx="154">
                    <c:v>LINOD</c:v>
                  </c:pt>
                  <c:pt idx="155">
                    <c:v>OTTIK</c:v>
                  </c:pt>
                  <c:pt idx="156">
                    <c:v>PICCO</c:v>
                  </c:pt>
                  <c:pt idx="157">
                    <c:v>QUICK</c:v>
                  </c:pt>
                  <c:pt idx="158">
                    <c:v>RATTC</c:v>
                  </c:pt>
                  <c:pt idx="159">
                    <c:v>RICAR</c:v>
                  </c:pt>
                  <c:pt idx="160">
                    <c:v>RICSU</c:v>
                  </c:pt>
                  <c:pt idx="161">
                    <c:v>VICTE</c:v>
                  </c:pt>
                  <c:pt idx="162">
                    <c:v>ANTON</c:v>
                  </c:pt>
                  <c:pt idx="163">
                    <c:v>EASTC</c:v>
                  </c:pt>
                  <c:pt idx="164">
                    <c:v>ERNSH</c:v>
                  </c:pt>
                  <c:pt idx="165">
                    <c:v>FOLKO</c:v>
                  </c:pt>
                  <c:pt idx="166">
                    <c:v>LAMAI</c:v>
                  </c:pt>
                  <c:pt idx="167">
                    <c:v>SUPRD</c:v>
                  </c:pt>
                  <c:pt idx="168">
                    <c:v>BOTTM</c:v>
                  </c:pt>
                  <c:pt idx="169">
                    <c:v>BSBEV</c:v>
                  </c:pt>
                  <c:pt idx="170">
                    <c:v>CONSH</c:v>
                  </c:pt>
                  <c:pt idx="171">
                    <c:v>FOLKO</c:v>
                  </c:pt>
                  <c:pt idx="172">
                    <c:v>GREAL</c:v>
                  </c:pt>
                  <c:pt idx="173">
                    <c:v>ISLAT</c:v>
                  </c:pt>
                  <c:pt idx="174">
                    <c:v>LEHMS</c:v>
                  </c:pt>
                  <c:pt idx="175">
                    <c:v>LINOD</c:v>
                  </c:pt>
                  <c:pt idx="176">
                    <c:v>MAGAA</c:v>
                  </c:pt>
                  <c:pt idx="177">
                    <c:v>MAISD</c:v>
                  </c:pt>
                  <c:pt idx="178">
                    <c:v>MORGK</c:v>
                  </c:pt>
                  <c:pt idx="179">
                    <c:v>QUICK</c:v>
                  </c:pt>
                  <c:pt idx="180">
                    <c:v>RICSU</c:v>
                  </c:pt>
                  <c:pt idx="181">
                    <c:v>SAVEA</c:v>
                  </c:pt>
                  <c:pt idx="182">
                    <c:v>SIMOB</c:v>
                  </c:pt>
                  <c:pt idx="183">
                    <c:v>VICTE</c:v>
                  </c:pt>
                  <c:pt idx="184">
                    <c:v>BONAP</c:v>
                  </c:pt>
                  <c:pt idx="185">
                    <c:v>GOURL</c:v>
                  </c:pt>
                  <c:pt idx="186">
                    <c:v>LEHMS</c:v>
                  </c:pt>
                  <c:pt idx="187">
                    <c:v>QUEEN</c:v>
                  </c:pt>
                  <c:pt idx="188">
                    <c:v>WILMK</c:v>
                  </c:pt>
                  <c:pt idx="189">
                    <c:v>ANTON</c:v>
                  </c:pt>
                  <c:pt idx="190">
                    <c:v>AROUT</c:v>
                  </c:pt>
                  <c:pt idx="191">
                    <c:v>BLAUS</c:v>
                  </c:pt>
                  <c:pt idx="192">
                    <c:v>BONAP</c:v>
                  </c:pt>
                  <c:pt idx="193">
                    <c:v>BSBEV</c:v>
                  </c:pt>
                  <c:pt idx="194">
                    <c:v>PICCO</c:v>
                  </c:pt>
                  <c:pt idx="195">
                    <c:v>TOMSP</c:v>
                  </c:pt>
                  <c:pt idx="196">
                    <c:v>WARTH</c:v>
                  </c:pt>
                  <c:pt idx="197">
                    <c:v>ANTON</c:v>
                  </c:pt>
                  <c:pt idx="198">
                    <c:v>SAVEA</c:v>
                  </c:pt>
                  <c:pt idx="199">
                    <c:v>THEBI</c:v>
                  </c:pt>
                  <c:pt idx="200">
                    <c:v>TOMSP</c:v>
                  </c:pt>
                  <c:pt idx="201">
                    <c:v>VAFFE</c:v>
                  </c:pt>
                  <c:pt idx="202">
                    <c:v>WHITC</c:v>
                  </c:pt>
                  <c:pt idx="203">
                    <c:v>ERNSH</c:v>
                  </c:pt>
                  <c:pt idx="204">
                    <c:v>HUNGC</c:v>
                  </c:pt>
                  <c:pt idx="205">
                    <c:v>LEHMS</c:v>
                  </c:pt>
                  <c:pt idx="206">
                    <c:v>SEVES</c:v>
                  </c:pt>
                  <c:pt idx="207">
                    <c:v>BLAUS</c:v>
                  </c:pt>
                  <c:pt idx="208">
                    <c:v>BSBEV</c:v>
                  </c:pt>
                  <c:pt idx="209">
                    <c:v>CHOPS</c:v>
                  </c:pt>
                  <c:pt idx="210">
                    <c:v>DUMON</c:v>
                  </c:pt>
                  <c:pt idx="211">
                    <c:v>ERNSH</c:v>
                  </c:pt>
                  <c:pt idx="212">
                    <c:v>FOLIG</c:v>
                  </c:pt>
                  <c:pt idx="213">
                    <c:v>FRANK</c:v>
                  </c:pt>
                  <c:pt idx="214">
                    <c:v>GODOS</c:v>
                  </c:pt>
                  <c:pt idx="215">
                    <c:v>GREAL</c:v>
                  </c:pt>
                  <c:pt idx="216">
                    <c:v>KOENE</c:v>
                  </c:pt>
                  <c:pt idx="217">
                    <c:v>LILAS</c:v>
                  </c:pt>
                  <c:pt idx="218">
                    <c:v>LINOD</c:v>
                  </c:pt>
                  <c:pt idx="219">
                    <c:v>MEREP</c:v>
                  </c:pt>
                  <c:pt idx="220">
                    <c:v>OCEAN</c:v>
                  </c:pt>
                  <c:pt idx="221">
                    <c:v>PRINI</c:v>
                  </c:pt>
                  <c:pt idx="222">
                    <c:v>QUEEN</c:v>
                  </c:pt>
                  <c:pt idx="223">
                    <c:v>QUICK</c:v>
                  </c:pt>
                  <c:pt idx="224">
                    <c:v>RANCH</c:v>
                  </c:pt>
                  <c:pt idx="225">
                    <c:v>SIMOB</c:v>
                  </c:pt>
                  <c:pt idx="226">
                    <c:v>WANDK</c:v>
                  </c:pt>
                  <c:pt idx="227">
                    <c:v>WHITC</c:v>
                  </c:pt>
                  <c:pt idx="228">
                    <c:v>BERGS</c:v>
                  </c:pt>
                  <c:pt idx="229">
                    <c:v>BSBEV</c:v>
                  </c:pt>
                  <c:pt idx="230">
                    <c:v>CACTU</c:v>
                  </c:pt>
                  <c:pt idx="231">
                    <c:v>EASTC</c:v>
                  </c:pt>
                  <c:pt idx="232">
                    <c:v>ERNSH</c:v>
                  </c:pt>
                  <c:pt idx="233">
                    <c:v>FOLIG</c:v>
                  </c:pt>
                  <c:pt idx="234">
                    <c:v>FRANK</c:v>
                  </c:pt>
                  <c:pt idx="235">
                    <c:v>FURIB</c:v>
                  </c:pt>
                  <c:pt idx="236">
                    <c:v>GREAL</c:v>
                  </c:pt>
                  <c:pt idx="237">
                    <c:v>LINOD</c:v>
                  </c:pt>
                  <c:pt idx="238">
                    <c:v>MEREP</c:v>
                  </c:pt>
                  <c:pt idx="239">
                    <c:v>QUEDE</c:v>
                  </c:pt>
                  <c:pt idx="240">
                    <c:v>VICTE</c:v>
                  </c:pt>
                  <c:pt idx="241">
                    <c:v>WARTH</c:v>
                  </c:pt>
                  <c:pt idx="242">
                    <c:v>WHITC</c:v>
                  </c:pt>
                  <c:pt idx="243">
                    <c:v>FAMIA</c:v>
                  </c:pt>
                  <c:pt idx="244">
                    <c:v>FRANK</c:v>
                  </c:pt>
                  <c:pt idx="245">
                    <c:v>FRANS</c:v>
                  </c:pt>
                  <c:pt idx="246">
                    <c:v>GODOS</c:v>
                  </c:pt>
                  <c:pt idx="247">
                    <c:v>GREAL</c:v>
                  </c:pt>
                  <c:pt idx="248">
                    <c:v>ISLAT</c:v>
                  </c:pt>
                  <c:pt idx="249">
                    <c:v>LINOD</c:v>
                  </c:pt>
                  <c:pt idx="250">
                    <c:v>QUEDE</c:v>
                  </c:pt>
                  <c:pt idx="251">
                    <c:v>QUEEN</c:v>
                  </c:pt>
                  <c:pt idx="252">
                    <c:v>QUICK</c:v>
                  </c:pt>
                  <c:pt idx="253">
                    <c:v>RICAR</c:v>
                  </c:pt>
                  <c:pt idx="254">
                    <c:v>SAVEA</c:v>
                  </c:pt>
                  <c:pt idx="255">
                    <c:v>SUPRD</c:v>
                  </c:pt>
                  <c:pt idx="256">
                    <c:v>TOMSP</c:v>
                  </c:pt>
                  <c:pt idx="257">
                    <c:v>TORTU</c:v>
                  </c:pt>
                  <c:pt idx="258">
                    <c:v>WANDK</c:v>
                  </c:pt>
                  <c:pt idx="259">
                    <c:v>WARTH</c:v>
                  </c:pt>
                  <c:pt idx="260">
                    <c:v>WELLI</c:v>
                  </c:pt>
                  <c:pt idx="261">
                    <c:v>BONAP</c:v>
                  </c:pt>
                  <c:pt idx="262">
                    <c:v>BSBEV</c:v>
                  </c:pt>
                  <c:pt idx="263">
                    <c:v>FOLIG</c:v>
                  </c:pt>
                  <c:pt idx="264">
                    <c:v>GOURL</c:v>
                  </c:pt>
                  <c:pt idx="265">
                    <c:v>OTTIK</c:v>
                  </c:pt>
                  <c:pt idx="266">
                    <c:v>QUICK</c:v>
                  </c:pt>
                  <c:pt idx="267">
                    <c:v>SAVEA</c:v>
                  </c:pt>
                  <c:pt idx="268">
                    <c:v>VAFFE</c:v>
                  </c:pt>
                  <c:pt idx="269">
                    <c:v>VICTE</c:v>
                  </c:pt>
                  <c:pt idx="270">
                    <c:v>ALFKI</c:v>
                  </c:pt>
                  <c:pt idx="271">
                    <c:v>ERNSH</c:v>
                  </c:pt>
                  <c:pt idx="272">
                    <c:v>FOLIG</c:v>
                  </c:pt>
                  <c:pt idx="273">
                    <c:v>HUNGO</c:v>
                  </c:pt>
                  <c:pt idx="274">
                    <c:v>MORGK</c:v>
                  </c:pt>
                  <c:pt idx="275">
                    <c:v>PICCO</c:v>
                  </c:pt>
                  <c:pt idx="276">
                    <c:v>WHITC</c:v>
                  </c:pt>
                </c:lvl>
                <c:lvl>
                  <c:pt idx="0">
                    <c:v>Alice Mutton</c:v>
                  </c:pt>
                  <c:pt idx="1">
                    <c:v>Alice Mutton</c:v>
                  </c:pt>
                  <c:pt idx="2">
                    <c:v>Alice Mutton</c:v>
                  </c:pt>
                  <c:pt idx="3">
                    <c:v>Alice Mutton</c:v>
                  </c:pt>
                  <c:pt idx="4">
                    <c:v>Alice Mutton</c:v>
                  </c:pt>
                  <c:pt idx="5">
                    <c:v>Alice Mutton</c:v>
                  </c:pt>
                  <c:pt idx="6">
                    <c:v>Alice Mutton</c:v>
                  </c:pt>
                  <c:pt idx="7">
                    <c:v>Alice Mutton</c:v>
                  </c:pt>
                  <c:pt idx="8">
                    <c:v>Alice Mutton</c:v>
                  </c:pt>
                  <c:pt idx="9">
                    <c:v>Alice Mutton</c:v>
                  </c:pt>
                  <c:pt idx="10">
                    <c:v>Alice Mutton</c:v>
                  </c:pt>
                  <c:pt idx="11">
                    <c:v>Alice Mutton</c:v>
                  </c:pt>
                  <c:pt idx="12">
                    <c:v>Alice Mutton</c:v>
                  </c:pt>
                  <c:pt idx="13">
                    <c:v>Aniseed Syrup</c:v>
                  </c:pt>
                  <c:pt idx="14">
                    <c:v>Aniseed Syrup</c:v>
                  </c:pt>
                  <c:pt idx="15">
                    <c:v>Aniseed Syrup</c:v>
                  </c:pt>
                  <c:pt idx="16">
                    <c:v>Aniseed Syrup</c:v>
                  </c:pt>
                  <c:pt idx="17">
                    <c:v>Aniseed Syrup</c:v>
                  </c:pt>
                  <c:pt idx="18">
                    <c:v>Aniseed Syrup</c:v>
                  </c:pt>
                  <c:pt idx="19">
                    <c:v>Boston Crab Meat</c:v>
                  </c:pt>
                  <c:pt idx="20">
                    <c:v>Boston Crab Meat</c:v>
                  </c:pt>
                  <c:pt idx="21">
                    <c:v>Boston Crab Meat</c:v>
                  </c:pt>
                  <c:pt idx="22">
                    <c:v>Boston Crab Meat</c:v>
                  </c:pt>
                  <c:pt idx="23">
                    <c:v>Boston Crab Meat</c:v>
                  </c:pt>
                  <c:pt idx="24">
                    <c:v>Boston Crab Meat</c:v>
                  </c:pt>
                  <c:pt idx="25">
                    <c:v>Boston Crab Meat</c:v>
                  </c:pt>
                  <c:pt idx="26">
                    <c:v>Boston Crab Meat</c:v>
                  </c:pt>
                  <c:pt idx="27">
                    <c:v>Boston Crab Meat</c:v>
                  </c:pt>
                  <c:pt idx="28">
                    <c:v>Boston Crab Meat</c:v>
                  </c:pt>
                  <c:pt idx="29">
                    <c:v>Boston Crab Meat</c:v>
                  </c:pt>
                  <c:pt idx="30">
                    <c:v>Boston Crab Meat</c:v>
                  </c:pt>
                  <c:pt idx="31">
                    <c:v>Boston Crab Meat</c:v>
                  </c:pt>
                  <c:pt idx="32">
                    <c:v>Boston Crab Meat</c:v>
                  </c:pt>
                  <c:pt idx="33">
                    <c:v>Boston Crab Meat</c:v>
                  </c:pt>
                  <c:pt idx="34">
                    <c:v>Boston Crab Meat</c:v>
                  </c:pt>
                  <c:pt idx="35">
                    <c:v>Boston Crab Meat</c:v>
                  </c:pt>
                  <c:pt idx="36">
                    <c:v>Boston Crab Meat</c:v>
                  </c:pt>
                  <c:pt idx="37">
                    <c:v>Camembert Pierrot</c:v>
                  </c:pt>
                  <c:pt idx="38">
                    <c:v>Camembert Pierrot</c:v>
                  </c:pt>
                  <c:pt idx="39">
                    <c:v>Camembert Pierrot</c:v>
                  </c:pt>
                  <c:pt idx="40">
                    <c:v>Camembert Pierrot</c:v>
                  </c:pt>
                  <c:pt idx="41">
                    <c:v>Camembert Pierrot</c:v>
                  </c:pt>
                  <c:pt idx="42">
                    <c:v>Camembert Pierrot</c:v>
                  </c:pt>
                  <c:pt idx="43">
                    <c:v>Camembert Pierrot</c:v>
                  </c:pt>
                  <c:pt idx="44">
                    <c:v>Camembert Pierrot</c:v>
                  </c:pt>
                  <c:pt idx="45">
                    <c:v>Camembert Pierrot</c:v>
                  </c:pt>
                  <c:pt idx="46">
                    <c:v>Camembert Pierrot</c:v>
                  </c:pt>
                  <c:pt idx="47">
                    <c:v>Camembert Pierrot</c:v>
                  </c:pt>
                  <c:pt idx="48">
                    <c:v>Camembert Pierrot</c:v>
                  </c:pt>
                  <c:pt idx="49">
                    <c:v>Camembert Pierrot</c:v>
                  </c:pt>
                  <c:pt idx="50">
                    <c:v>Camembert Pierrot</c:v>
                  </c:pt>
                  <c:pt idx="51">
                    <c:v>Camembert Pierrot</c:v>
                  </c:pt>
                  <c:pt idx="52">
                    <c:v>Camembert Pierrot</c:v>
                  </c:pt>
                  <c:pt idx="53">
                    <c:v>Camembert Pierrot</c:v>
                  </c:pt>
                  <c:pt idx="54">
                    <c:v>Camembert Pierrot</c:v>
                  </c:pt>
                  <c:pt idx="55">
                    <c:v>Camembert Pierrot</c:v>
                  </c:pt>
                  <c:pt idx="56">
                    <c:v>Chef Anton's Cajun Seasoning</c:v>
                  </c:pt>
                  <c:pt idx="57">
                    <c:v>Chef Anton's Cajun Seasoning</c:v>
                  </c:pt>
                  <c:pt idx="58">
                    <c:v>Chef Anton's Cajun Seasoning</c:v>
                  </c:pt>
                  <c:pt idx="59">
                    <c:v>Chef Anton's Cajun Seasoning</c:v>
                  </c:pt>
                  <c:pt idx="60">
                    <c:v>Chef Anton's Cajun Seasoning</c:v>
                  </c:pt>
                  <c:pt idx="61">
                    <c:v>Chef Anton's Cajun Seasoning</c:v>
                  </c:pt>
                  <c:pt idx="62">
                    <c:v>Chef Anton's Cajun Seasoning</c:v>
                  </c:pt>
                  <c:pt idx="63">
                    <c:v>Chef Anton's Cajun Seasoning</c:v>
                  </c:pt>
                  <c:pt idx="64">
                    <c:v>Chef Anton's Cajun Seasoning</c:v>
                  </c:pt>
                  <c:pt idx="65">
                    <c:v>Chef Anton's Cajun Seasoning</c:v>
                  </c:pt>
                  <c:pt idx="66">
                    <c:v>Chef Anton's Gumbo Mix</c:v>
                  </c:pt>
                  <c:pt idx="67">
                    <c:v>Chef Anton's Gumbo Mix</c:v>
                  </c:pt>
                  <c:pt idx="68">
                    <c:v>Filo Mix</c:v>
                  </c:pt>
                  <c:pt idx="69">
                    <c:v>Filo Mix</c:v>
                  </c:pt>
                  <c:pt idx="70">
                    <c:v>Filo Mix</c:v>
                  </c:pt>
                  <c:pt idx="71">
                    <c:v>Filo Mix</c:v>
                  </c:pt>
                  <c:pt idx="72">
                    <c:v>Filo Mix</c:v>
                  </c:pt>
                  <c:pt idx="73">
                    <c:v>Filo Mix</c:v>
                  </c:pt>
                  <c:pt idx="74">
                    <c:v>Filo Mix</c:v>
                  </c:pt>
                  <c:pt idx="75">
                    <c:v>Filo Mix</c:v>
                  </c:pt>
                  <c:pt idx="76">
                    <c:v>Filo Mix</c:v>
                  </c:pt>
                  <c:pt idx="77">
                    <c:v>Filo Mix</c:v>
                  </c:pt>
                  <c:pt idx="78">
                    <c:v>Filo Mix</c:v>
                  </c:pt>
                  <c:pt idx="79">
                    <c:v>Filo Mix</c:v>
                  </c:pt>
                  <c:pt idx="80">
                    <c:v>Filo Mix</c:v>
                  </c:pt>
                  <c:pt idx="81">
                    <c:v>Filo Mix</c:v>
                  </c:pt>
                  <c:pt idx="82">
                    <c:v>Gorgonzola Telino</c:v>
                  </c:pt>
                  <c:pt idx="83">
                    <c:v>Gorgonzola Telino</c:v>
                  </c:pt>
                  <c:pt idx="84">
                    <c:v>Gorgonzola Telino</c:v>
                  </c:pt>
                  <c:pt idx="85">
                    <c:v>Gorgonzola Telino</c:v>
                  </c:pt>
                  <c:pt idx="86">
                    <c:v>Gorgonzola Telino</c:v>
                  </c:pt>
                  <c:pt idx="87">
                    <c:v>Gorgonzola Telino</c:v>
                  </c:pt>
                  <c:pt idx="88">
                    <c:v>Gorgonzola Telino</c:v>
                  </c:pt>
                  <c:pt idx="89">
                    <c:v>Gorgonzola Telino</c:v>
                  </c:pt>
                  <c:pt idx="90">
                    <c:v>Gorgonzola Telino</c:v>
                  </c:pt>
                  <c:pt idx="91">
                    <c:v>Gorgonzola Telino</c:v>
                  </c:pt>
                  <c:pt idx="92">
                    <c:v>Gorgonzola Telino</c:v>
                  </c:pt>
                  <c:pt idx="93">
                    <c:v>Gorgonzola Telino</c:v>
                  </c:pt>
                  <c:pt idx="94">
                    <c:v>Gorgonzola Telino</c:v>
                  </c:pt>
                  <c:pt idx="95">
                    <c:v>Gorgonzola Telino</c:v>
                  </c:pt>
                  <c:pt idx="96">
                    <c:v>Gorgonzola Telino</c:v>
                  </c:pt>
                  <c:pt idx="97">
                    <c:v>Gorgonzola Telino</c:v>
                  </c:pt>
                  <c:pt idx="98">
                    <c:v>Gorgonzola Telino</c:v>
                  </c:pt>
                  <c:pt idx="99">
                    <c:v>Gorgonzola Telino</c:v>
                  </c:pt>
                  <c:pt idx="100">
                    <c:v>Gorgonzola Telino</c:v>
                  </c:pt>
                  <c:pt idx="101">
                    <c:v>Gorgonzola Telino</c:v>
                  </c:pt>
                  <c:pt idx="102">
                    <c:v>Gorgonzola Telino</c:v>
                  </c:pt>
                  <c:pt idx="103">
                    <c:v>Gorgonzola Telino</c:v>
                  </c:pt>
                  <c:pt idx="104">
                    <c:v>Gorgonzola Telino</c:v>
                  </c:pt>
                  <c:pt idx="105">
                    <c:v>Gorgonzola Telino</c:v>
                  </c:pt>
                  <c:pt idx="106">
                    <c:v>Grandma's Boysenberry Spread</c:v>
                  </c:pt>
                  <c:pt idx="107">
                    <c:v>Grandma's Boysenberry Spread</c:v>
                  </c:pt>
                  <c:pt idx="108">
                    <c:v>Ipoh Coffee</c:v>
                  </c:pt>
                  <c:pt idx="109">
                    <c:v>Ipoh Coffee</c:v>
                  </c:pt>
                  <c:pt idx="110">
                    <c:v>Ipoh Coffee</c:v>
                  </c:pt>
                  <c:pt idx="111">
                    <c:v>Ipoh Coffee</c:v>
                  </c:pt>
                  <c:pt idx="112">
                    <c:v>Ipoh Coffee</c:v>
                  </c:pt>
                  <c:pt idx="113">
                    <c:v>Ipoh Coffee</c:v>
                  </c:pt>
                  <c:pt idx="114">
                    <c:v>Ipoh Coffee</c:v>
                  </c:pt>
                  <c:pt idx="115">
                    <c:v>Ipoh Coffee</c:v>
                  </c:pt>
                  <c:pt idx="116">
                    <c:v>Ipoh Coffee</c:v>
                  </c:pt>
                  <c:pt idx="117">
                    <c:v>Ipoh Coffee</c:v>
                  </c:pt>
                  <c:pt idx="118">
                    <c:v>Ipoh Coffee</c:v>
                  </c:pt>
                  <c:pt idx="119">
                    <c:v>Jack's New England Clam Chowder</c:v>
                  </c:pt>
                  <c:pt idx="120">
                    <c:v>Jack's New England Clam Chowder</c:v>
                  </c:pt>
                  <c:pt idx="121">
                    <c:v>Jack's New England Clam Chowder</c:v>
                  </c:pt>
                  <c:pt idx="122">
                    <c:v>Jack's New England Clam Chowder</c:v>
                  </c:pt>
                  <c:pt idx="123">
                    <c:v>Jack's New England Clam Chowder</c:v>
                  </c:pt>
                  <c:pt idx="124">
                    <c:v>Jack's New England Clam Chowder</c:v>
                  </c:pt>
                  <c:pt idx="125">
                    <c:v>Jack's New England Clam Chowder</c:v>
                  </c:pt>
                  <c:pt idx="126">
                    <c:v>Jack's New England Clam Chowder</c:v>
                  </c:pt>
                  <c:pt idx="127">
                    <c:v>Jack's New England Clam Chowder</c:v>
                  </c:pt>
                  <c:pt idx="128">
                    <c:v>Jack's New England Clam Chowder</c:v>
                  </c:pt>
                  <c:pt idx="129">
                    <c:v>Jack's New England Clam Chowder</c:v>
                  </c:pt>
                  <c:pt idx="130">
                    <c:v>Jack's New England Clam Chowder</c:v>
                  </c:pt>
                  <c:pt idx="131">
                    <c:v>Jack's New England Clam Chowder</c:v>
                  </c:pt>
                  <c:pt idx="132">
                    <c:v>Jack's New England Clam Chowder</c:v>
                  </c:pt>
                  <c:pt idx="133">
                    <c:v>Jack's New England Clam Chowder</c:v>
                  </c:pt>
                  <c:pt idx="134">
                    <c:v>Jack's New England Clam Chowder</c:v>
                  </c:pt>
                  <c:pt idx="135">
                    <c:v>Jack's New England Clam Chowder</c:v>
                  </c:pt>
                  <c:pt idx="136">
                    <c:v>Jack's New England Clam Chowder</c:v>
                  </c:pt>
                  <c:pt idx="137">
                    <c:v>Laughing Lumberjack Lager</c:v>
                  </c:pt>
                  <c:pt idx="138">
                    <c:v>Laughing Lumberjack Lager</c:v>
                  </c:pt>
                  <c:pt idx="139">
                    <c:v>Laughing Lumberjack Lager</c:v>
                  </c:pt>
                  <c:pt idx="140">
                    <c:v>Laughing Lumberjack Lager</c:v>
                  </c:pt>
                  <c:pt idx="141">
                    <c:v>Longlife Tofu</c:v>
                  </c:pt>
                  <c:pt idx="142">
                    <c:v>Longlife Tofu</c:v>
                  </c:pt>
                  <c:pt idx="143">
                    <c:v>Longlife Tofu</c:v>
                  </c:pt>
                  <c:pt idx="144">
                    <c:v>Longlife Tofu</c:v>
                  </c:pt>
                  <c:pt idx="145">
                    <c:v>Longlife Tofu</c:v>
                  </c:pt>
                  <c:pt idx="146">
                    <c:v>Longlife Tofu</c:v>
                  </c:pt>
                  <c:pt idx="147">
                    <c:v>Louisiana Fiery Hot Pepper Sauce</c:v>
                  </c:pt>
                  <c:pt idx="148">
                    <c:v>Louisiana Fiery Hot Pepper Sauce</c:v>
                  </c:pt>
                  <c:pt idx="149">
                    <c:v>Louisiana Fiery Hot Pepper Sauce</c:v>
                  </c:pt>
                  <c:pt idx="150">
                    <c:v>Louisiana Fiery Hot Pepper Sauce</c:v>
                  </c:pt>
                  <c:pt idx="151">
                    <c:v>Louisiana Fiery Hot Pepper Sauce</c:v>
                  </c:pt>
                  <c:pt idx="152">
                    <c:v>Louisiana Fiery Hot Pepper Sauce</c:v>
                  </c:pt>
                  <c:pt idx="153">
                    <c:v>Louisiana Fiery Hot Pepper Sauce</c:v>
                  </c:pt>
                  <c:pt idx="154">
                    <c:v>Louisiana Fiery Hot Pepper Sauce</c:v>
                  </c:pt>
                  <c:pt idx="155">
                    <c:v>Louisiana Fiery Hot Pepper Sauce</c:v>
                  </c:pt>
                  <c:pt idx="156">
                    <c:v>Louisiana Fiery Hot Pepper Sauce</c:v>
                  </c:pt>
                  <c:pt idx="157">
                    <c:v>Louisiana Fiery Hot Pepper Sauce</c:v>
                  </c:pt>
                  <c:pt idx="158">
                    <c:v>Louisiana Fiery Hot Pepper Sauce</c:v>
                  </c:pt>
                  <c:pt idx="159">
                    <c:v>Louisiana Fiery Hot Pepper Sauce</c:v>
                  </c:pt>
                  <c:pt idx="160">
                    <c:v>Louisiana Fiery Hot Pepper Sauce</c:v>
                  </c:pt>
                  <c:pt idx="161">
                    <c:v>Louisiana Fiery Hot Pepper Sauce</c:v>
                  </c:pt>
                  <c:pt idx="162">
                    <c:v>Louisiana Hot Spiced Okra</c:v>
                  </c:pt>
                  <c:pt idx="163">
                    <c:v>Louisiana Hot Spiced Okra</c:v>
                  </c:pt>
                  <c:pt idx="164">
                    <c:v>Louisiana Hot Spiced Okra</c:v>
                  </c:pt>
                  <c:pt idx="165">
                    <c:v>Louisiana Hot Spiced Okra</c:v>
                  </c:pt>
                  <c:pt idx="166">
                    <c:v>Louisiana Hot Spiced Okra</c:v>
                  </c:pt>
                  <c:pt idx="167">
                    <c:v>Louisiana Hot Spiced Okra</c:v>
                  </c:pt>
                  <c:pt idx="168">
                    <c:v>Mozzarella di Giovanni</c:v>
                  </c:pt>
                  <c:pt idx="169">
                    <c:v>Mozzarella di Giovanni</c:v>
                  </c:pt>
                  <c:pt idx="170">
                    <c:v>Mozzarella di Giovanni</c:v>
                  </c:pt>
                  <c:pt idx="171">
                    <c:v>Mozzarella di Giovanni</c:v>
                  </c:pt>
                  <c:pt idx="172">
                    <c:v>Mozzarella di Giovanni</c:v>
                  </c:pt>
                  <c:pt idx="173">
                    <c:v>Mozzarella di Giovanni</c:v>
                  </c:pt>
                  <c:pt idx="174">
                    <c:v>Mozzarella di Giovanni</c:v>
                  </c:pt>
                  <c:pt idx="175">
                    <c:v>Mozzarella di Giovanni</c:v>
                  </c:pt>
                  <c:pt idx="176">
                    <c:v>Mozzarella di Giovanni</c:v>
                  </c:pt>
                  <c:pt idx="177">
                    <c:v>Mozzarella di Giovanni</c:v>
                  </c:pt>
                  <c:pt idx="178">
                    <c:v>Mozzarella di Giovanni</c:v>
                  </c:pt>
                  <c:pt idx="179">
                    <c:v>Mozzarella di Giovanni</c:v>
                  </c:pt>
                  <c:pt idx="180">
                    <c:v>Mozzarella di Giovanni</c:v>
                  </c:pt>
                  <c:pt idx="181">
                    <c:v>Mozzarella di Giovanni</c:v>
                  </c:pt>
                  <c:pt idx="182">
                    <c:v>Mozzarella di Giovanni</c:v>
                  </c:pt>
                  <c:pt idx="183">
                    <c:v>Mozzarella di Giovanni</c:v>
                  </c:pt>
                  <c:pt idx="184">
                    <c:v>Northwoods Cranberry Sauce</c:v>
                  </c:pt>
                  <c:pt idx="185">
                    <c:v>Northwoods Cranberry Sauce</c:v>
                  </c:pt>
                  <c:pt idx="186">
                    <c:v>Northwoods Cranberry Sauce</c:v>
                  </c:pt>
                  <c:pt idx="187">
                    <c:v>Northwoods Cranberry Sauce</c:v>
                  </c:pt>
                  <c:pt idx="188">
                    <c:v>Northwoods Cranberry Sauce</c:v>
                  </c:pt>
                  <c:pt idx="189">
                    <c:v>Ravioli Angelo</c:v>
                  </c:pt>
                  <c:pt idx="190">
                    <c:v>Ravioli Angelo</c:v>
                  </c:pt>
                  <c:pt idx="191">
                    <c:v>Ravioli Angelo</c:v>
                  </c:pt>
                  <c:pt idx="192">
                    <c:v>Ravioli Angelo</c:v>
                  </c:pt>
                  <c:pt idx="193">
                    <c:v>Ravioli Angelo</c:v>
                  </c:pt>
                  <c:pt idx="194">
                    <c:v>Ravioli Angelo</c:v>
                  </c:pt>
                  <c:pt idx="195">
                    <c:v>Ravioli Angelo</c:v>
                  </c:pt>
                  <c:pt idx="196">
                    <c:v>Ravioli Angelo</c:v>
                  </c:pt>
                  <c:pt idx="197">
                    <c:v>Sasquatch Ale</c:v>
                  </c:pt>
                  <c:pt idx="198">
                    <c:v>Sasquatch Ale</c:v>
                  </c:pt>
                  <c:pt idx="199">
                    <c:v>Sasquatch Ale</c:v>
                  </c:pt>
                  <c:pt idx="200">
                    <c:v>Sasquatch Ale</c:v>
                  </c:pt>
                  <c:pt idx="201">
                    <c:v>Sasquatch Ale</c:v>
                  </c:pt>
                  <c:pt idx="202">
                    <c:v>Sasquatch Ale</c:v>
                  </c:pt>
                  <c:pt idx="203">
                    <c:v>Sir Rodney's Marmalade</c:v>
                  </c:pt>
                  <c:pt idx="204">
                    <c:v>Sir Rodney's Marmalade</c:v>
                  </c:pt>
                  <c:pt idx="205">
                    <c:v>Sir Rodney's Marmalade</c:v>
                  </c:pt>
                  <c:pt idx="206">
                    <c:v>Sir Rodney's Marmalade</c:v>
                  </c:pt>
                  <c:pt idx="207">
                    <c:v>Sir Rodney's Scones</c:v>
                  </c:pt>
                  <c:pt idx="208">
                    <c:v>Sir Rodney's Scones</c:v>
                  </c:pt>
                  <c:pt idx="209">
                    <c:v>Sir Rodney's Scones</c:v>
                  </c:pt>
                  <c:pt idx="210">
                    <c:v>Sir Rodney's Scones</c:v>
                  </c:pt>
                  <c:pt idx="211">
                    <c:v>Sir Rodney's Scones</c:v>
                  </c:pt>
                  <c:pt idx="212">
                    <c:v>Sir Rodney's Scones</c:v>
                  </c:pt>
                  <c:pt idx="213">
                    <c:v>Sir Rodney's Scones</c:v>
                  </c:pt>
                  <c:pt idx="214">
                    <c:v>Sir Rodney's Scones</c:v>
                  </c:pt>
                  <c:pt idx="215">
                    <c:v>Sir Rodney's Scones</c:v>
                  </c:pt>
                  <c:pt idx="216">
                    <c:v>Sir Rodney's Scones</c:v>
                  </c:pt>
                  <c:pt idx="217">
                    <c:v>Sir Rodney's Scones</c:v>
                  </c:pt>
                  <c:pt idx="218">
                    <c:v>Sir Rodney's Scones</c:v>
                  </c:pt>
                  <c:pt idx="219">
                    <c:v>Sir Rodney's Scones</c:v>
                  </c:pt>
                  <c:pt idx="220">
                    <c:v>Sir Rodney's Scones</c:v>
                  </c:pt>
                  <c:pt idx="221">
                    <c:v>Sir Rodney's Scones</c:v>
                  </c:pt>
                  <c:pt idx="222">
                    <c:v>Sir Rodney's Scones</c:v>
                  </c:pt>
                  <c:pt idx="223">
                    <c:v>Sir Rodney's Scones</c:v>
                  </c:pt>
                  <c:pt idx="224">
                    <c:v>Sir Rodney's Scones</c:v>
                  </c:pt>
                  <c:pt idx="225">
                    <c:v>Sir Rodney's Scones</c:v>
                  </c:pt>
                  <c:pt idx="226">
                    <c:v>Sir Rodney's Scones</c:v>
                  </c:pt>
                  <c:pt idx="227">
                    <c:v>Sir Rodney's Scones</c:v>
                  </c:pt>
                  <c:pt idx="228">
                    <c:v>Steeleye Stout</c:v>
                  </c:pt>
                  <c:pt idx="229">
                    <c:v>Steeleye Stout</c:v>
                  </c:pt>
                  <c:pt idx="230">
                    <c:v>Steeleye Stout</c:v>
                  </c:pt>
                  <c:pt idx="231">
                    <c:v>Steeleye Stout</c:v>
                  </c:pt>
                  <c:pt idx="232">
                    <c:v>Steeleye Stout</c:v>
                  </c:pt>
                  <c:pt idx="233">
                    <c:v>Steeleye Stout</c:v>
                  </c:pt>
                  <c:pt idx="234">
                    <c:v>Steeleye Stout</c:v>
                  </c:pt>
                  <c:pt idx="235">
                    <c:v>Steeleye Stout</c:v>
                  </c:pt>
                  <c:pt idx="236">
                    <c:v>Steeleye Stout</c:v>
                  </c:pt>
                  <c:pt idx="237">
                    <c:v>Steeleye Stout</c:v>
                  </c:pt>
                  <c:pt idx="238">
                    <c:v>Steeleye Stout</c:v>
                  </c:pt>
                  <c:pt idx="239">
                    <c:v>Steeleye Stout</c:v>
                  </c:pt>
                  <c:pt idx="240">
                    <c:v>Steeleye Stout</c:v>
                  </c:pt>
                  <c:pt idx="241">
                    <c:v>Steeleye Stout</c:v>
                  </c:pt>
                  <c:pt idx="242">
                    <c:v>Steeleye Stout</c:v>
                  </c:pt>
                  <c:pt idx="243">
                    <c:v>Teatime Chocolate Biscuits</c:v>
                  </c:pt>
                  <c:pt idx="244">
                    <c:v>Teatime Chocolate Biscuits</c:v>
                  </c:pt>
                  <c:pt idx="245">
                    <c:v>Teatime Chocolate Biscuits</c:v>
                  </c:pt>
                  <c:pt idx="246">
                    <c:v>Teatime Chocolate Biscuits</c:v>
                  </c:pt>
                  <c:pt idx="247">
                    <c:v>Teatime Chocolate Biscuits</c:v>
                  </c:pt>
                  <c:pt idx="248">
                    <c:v>Teatime Chocolate Biscuits</c:v>
                  </c:pt>
                  <c:pt idx="249">
                    <c:v>Teatime Chocolate Biscuits</c:v>
                  </c:pt>
                  <c:pt idx="250">
                    <c:v>Teatime Chocolate Biscuits</c:v>
                  </c:pt>
                  <c:pt idx="251">
                    <c:v>Teatime Chocolate Biscuits</c:v>
                  </c:pt>
                  <c:pt idx="252">
                    <c:v>Teatime Chocolate Biscuits</c:v>
                  </c:pt>
                  <c:pt idx="253">
                    <c:v>Teatime Chocolate Biscuits</c:v>
                  </c:pt>
                  <c:pt idx="254">
                    <c:v>Teatime Chocolate Biscuits</c:v>
                  </c:pt>
                  <c:pt idx="255">
                    <c:v>Teatime Chocolate Biscuits</c:v>
                  </c:pt>
                  <c:pt idx="256">
                    <c:v>Teatime Chocolate Biscuits</c:v>
                  </c:pt>
                  <c:pt idx="257">
                    <c:v>Teatime Chocolate Biscuits</c:v>
                  </c:pt>
                  <c:pt idx="258">
                    <c:v>Teatime Chocolate Biscuits</c:v>
                  </c:pt>
                  <c:pt idx="259">
                    <c:v>Teatime Chocolate Biscuits</c:v>
                  </c:pt>
                  <c:pt idx="260">
                    <c:v>Teatime Chocolate Biscuits</c:v>
                  </c:pt>
                  <c:pt idx="261">
                    <c:v>Uncle Bob's Organic Dried Pears</c:v>
                  </c:pt>
                  <c:pt idx="262">
                    <c:v>Uncle Bob's Organic Dried Pears</c:v>
                  </c:pt>
                  <c:pt idx="263">
                    <c:v>Uncle Bob's Organic Dried Pears</c:v>
                  </c:pt>
                  <c:pt idx="264">
                    <c:v>Uncle Bob's Organic Dried Pears</c:v>
                  </c:pt>
                  <c:pt idx="265">
                    <c:v>Uncle Bob's Organic Dried Pears</c:v>
                  </c:pt>
                  <c:pt idx="266">
                    <c:v>Uncle Bob's Organic Dried Pears</c:v>
                  </c:pt>
                  <c:pt idx="267">
                    <c:v>Uncle Bob's Organic Dried Pears</c:v>
                  </c:pt>
                  <c:pt idx="268">
                    <c:v>Uncle Bob's Organic Dried Pears</c:v>
                  </c:pt>
                  <c:pt idx="269">
                    <c:v>Uncle Bob's Organic Dried Pears</c:v>
                  </c:pt>
                  <c:pt idx="270">
                    <c:v>Veggie-spread</c:v>
                  </c:pt>
                  <c:pt idx="271">
                    <c:v>Veggie-spread</c:v>
                  </c:pt>
                  <c:pt idx="272">
                    <c:v>Veggie-spread</c:v>
                  </c:pt>
                  <c:pt idx="273">
                    <c:v>Veggie-spread</c:v>
                  </c:pt>
                  <c:pt idx="274">
                    <c:v>Veggie-spread</c:v>
                  </c:pt>
                  <c:pt idx="275">
                    <c:v>Veggie-spread</c:v>
                  </c:pt>
                  <c:pt idx="276">
                    <c:v>Veggie-spread</c:v>
                  </c:pt>
                </c:lvl>
              </c:multiLvlStrCache>
            </c:multiLvlStrRef>
          </c:cat>
          <c:val>
            <c:numRef>
              <c:f>Sheet13!$F$2:$F$278</c:f>
              <c:numCache>
                <c:formatCode>_([$$-409]* #,##0.00_);_([$$-409]* \(#,##0.00\);_([$$-409]* "-"??_);_(@_)</c:formatCode>
                <c:ptCount val="277"/>
                <c:pt idx="0">
                  <c:v>0</c:v>
                </c:pt>
                <c:pt idx="1">
                  <c:v>0</c:v>
                </c:pt>
                <c:pt idx="2">
                  <c:v>1170</c:v>
                </c:pt>
                <c:pt idx="3">
                  <c:v>0</c:v>
                </c:pt>
                <c:pt idx="4">
                  <c:v>2607.15</c:v>
                </c:pt>
                <c:pt idx="5">
                  <c:v>0</c:v>
                </c:pt>
                <c:pt idx="6">
                  <c:v>0</c:v>
                </c:pt>
                <c:pt idx="7">
                  <c:v>0</c:v>
                </c:pt>
                <c:pt idx="8">
                  <c:v>0</c:v>
                </c:pt>
                <c:pt idx="9">
                  <c:v>741</c:v>
                </c:pt>
                <c:pt idx="10">
                  <c:v>789.75</c:v>
                </c:pt>
                <c:pt idx="11">
                  <c:v>0</c:v>
                </c:pt>
                <c:pt idx="12">
                  <c:v>780</c:v>
                </c:pt>
                <c:pt idx="13">
                  <c:v>60</c:v>
                </c:pt>
                <c:pt idx="14">
                  <c:v>200</c:v>
                </c:pt>
                <c:pt idx="15">
                  <c:v>180</c:v>
                </c:pt>
                <c:pt idx="16">
                  <c:v>0</c:v>
                </c:pt>
                <c:pt idx="17">
                  <c:v>0</c:v>
                </c:pt>
                <c:pt idx="18">
                  <c:v>0</c:v>
                </c:pt>
                <c:pt idx="19">
                  <c:v>0</c:v>
                </c:pt>
                <c:pt idx="20">
                  <c:v>0</c:v>
                </c:pt>
                <c:pt idx="21">
                  <c:v>0</c:v>
                </c:pt>
                <c:pt idx="22">
                  <c:v>0</c:v>
                </c:pt>
                <c:pt idx="23">
                  <c:v>0</c:v>
                </c:pt>
                <c:pt idx="24">
                  <c:v>18.399999999999999</c:v>
                </c:pt>
                <c:pt idx="25">
                  <c:v>0</c:v>
                </c:pt>
                <c:pt idx="26">
                  <c:v>0</c:v>
                </c:pt>
                <c:pt idx="27">
                  <c:v>0</c:v>
                </c:pt>
                <c:pt idx="28">
                  <c:v>55.2</c:v>
                </c:pt>
                <c:pt idx="29">
                  <c:v>0</c:v>
                </c:pt>
                <c:pt idx="30">
                  <c:v>0</c:v>
                </c:pt>
                <c:pt idx="31">
                  <c:v>110.4</c:v>
                </c:pt>
                <c:pt idx="32">
                  <c:v>0</c:v>
                </c:pt>
                <c:pt idx="33">
                  <c:v>0</c:v>
                </c:pt>
                <c:pt idx="34">
                  <c:v>736</c:v>
                </c:pt>
                <c:pt idx="35">
                  <c:v>0</c:v>
                </c:pt>
                <c:pt idx="36">
                  <c:v>736</c:v>
                </c:pt>
                <c:pt idx="37">
                  <c:v>0</c:v>
                </c:pt>
                <c:pt idx="38">
                  <c:v>510</c:v>
                </c:pt>
                <c:pt idx="39">
                  <c:v>0</c:v>
                </c:pt>
                <c:pt idx="40">
                  <c:v>1700</c:v>
                </c:pt>
                <c:pt idx="41">
                  <c:v>0</c:v>
                </c:pt>
                <c:pt idx="42">
                  <c:v>0</c:v>
                </c:pt>
                <c:pt idx="43">
                  <c:v>0</c:v>
                </c:pt>
                <c:pt idx="44">
                  <c:v>0</c:v>
                </c:pt>
                <c:pt idx="45">
                  <c:v>340</c:v>
                </c:pt>
                <c:pt idx="46">
                  <c:v>0</c:v>
                </c:pt>
                <c:pt idx="47">
                  <c:v>0</c:v>
                </c:pt>
                <c:pt idx="48">
                  <c:v>0</c:v>
                </c:pt>
                <c:pt idx="49">
                  <c:v>510</c:v>
                </c:pt>
                <c:pt idx="50">
                  <c:v>0</c:v>
                </c:pt>
                <c:pt idx="51">
                  <c:v>0</c:v>
                </c:pt>
                <c:pt idx="52">
                  <c:v>0</c:v>
                </c:pt>
                <c:pt idx="53">
                  <c:v>0</c:v>
                </c:pt>
                <c:pt idx="54">
                  <c:v>0</c:v>
                </c:pt>
                <c:pt idx="55">
                  <c:v>0</c:v>
                </c:pt>
                <c:pt idx="56">
                  <c:v>0</c:v>
                </c:pt>
                <c:pt idx="57">
                  <c:v>0</c:v>
                </c:pt>
                <c:pt idx="58">
                  <c:v>550</c:v>
                </c:pt>
                <c:pt idx="59">
                  <c:v>0</c:v>
                </c:pt>
                <c:pt idx="60">
                  <c:v>0</c:v>
                </c:pt>
                <c:pt idx="61">
                  <c:v>0</c:v>
                </c:pt>
                <c:pt idx="62">
                  <c:v>132</c:v>
                </c:pt>
                <c:pt idx="63">
                  <c:v>0</c:v>
                </c:pt>
                <c:pt idx="64">
                  <c:v>0</c:v>
                </c:pt>
                <c:pt idx="65">
                  <c:v>0</c:v>
                </c:pt>
                <c:pt idx="66">
                  <c:v>0</c:v>
                </c:pt>
                <c:pt idx="67">
                  <c:v>85.4</c:v>
                </c:pt>
                <c:pt idx="68">
                  <c:v>56</c:v>
                </c:pt>
                <c:pt idx="69">
                  <c:v>175</c:v>
                </c:pt>
                <c:pt idx="70">
                  <c:v>0</c:v>
                </c:pt>
                <c:pt idx="71">
                  <c:v>0</c:v>
                </c:pt>
                <c:pt idx="72">
                  <c:v>28</c:v>
                </c:pt>
                <c:pt idx="73">
                  <c:v>0</c:v>
                </c:pt>
                <c:pt idx="74">
                  <c:v>0</c:v>
                </c:pt>
                <c:pt idx="75">
                  <c:v>0</c:v>
                </c:pt>
                <c:pt idx="76">
                  <c:v>0</c:v>
                </c:pt>
                <c:pt idx="77">
                  <c:v>0</c:v>
                </c:pt>
                <c:pt idx="78">
                  <c:v>420</c:v>
                </c:pt>
                <c:pt idx="79">
                  <c:v>0</c:v>
                </c:pt>
                <c:pt idx="80">
                  <c:v>99.75</c:v>
                </c:pt>
                <c:pt idx="81">
                  <c:v>126</c:v>
                </c:pt>
                <c:pt idx="82">
                  <c:v>625</c:v>
                </c:pt>
                <c:pt idx="83">
                  <c:v>0</c:v>
                </c:pt>
                <c:pt idx="84">
                  <c:v>35.619999999999997</c:v>
                </c:pt>
                <c:pt idx="85">
                  <c:v>12.5</c:v>
                </c:pt>
                <c:pt idx="86">
                  <c:v>890</c:v>
                </c:pt>
                <c:pt idx="87">
                  <c:v>18.75</c:v>
                </c:pt>
                <c:pt idx="88">
                  <c:v>0</c:v>
                </c:pt>
                <c:pt idx="89">
                  <c:v>125</c:v>
                </c:pt>
                <c:pt idx="90">
                  <c:v>250</c:v>
                </c:pt>
                <c:pt idx="91">
                  <c:v>0</c:v>
                </c:pt>
                <c:pt idx="92">
                  <c:v>0</c:v>
                </c:pt>
                <c:pt idx="93">
                  <c:v>0</c:v>
                </c:pt>
                <c:pt idx="94">
                  <c:v>100</c:v>
                </c:pt>
                <c:pt idx="95">
                  <c:v>0</c:v>
                </c:pt>
                <c:pt idx="96">
                  <c:v>0</c:v>
                </c:pt>
                <c:pt idx="97">
                  <c:v>0</c:v>
                </c:pt>
                <c:pt idx="98">
                  <c:v>0</c:v>
                </c:pt>
                <c:pt idx="99">
                  <c:v>625</c:v>
                </c:pt>
                <c:pt idx="100">
                  <c:v>0</c:v>
                </c:pt>
                <c:pt idx="101">
                  <c:v>0</c:v>
                </c:pt>
                <c:pt idx="102">
                  <c:v>0</c:v>
                </c:pt>
                <c:pt idx="103">
                  <c:v>0</c:v>
                </c:pt>
                <c:pt idx="104">
                  <c:v>0</c:v>
                </c:pt>
                <c:pt idx="105">
                  <c:v>0</c:v>
                </c:pt>
                <c:pt idx="106">
                  <c:v>750</c:v>
                </c:pt>
                <c:pt idx="107">
                  <c:v>0</c:v>
                </c:pt>
                <c:pt idx="108">
                  <c:v>0</c:v>
                </c:pt>
                <c:pt idx="109">
                  <c:v>0</c:v>
                </c:pt>
                <c:pt idx="110">
                  <c:v>0</c:v>
                </c:pt>
                <c:pt idx="111">
                  <c:v>0</c:v>
                </c:pt>
                <c:pt idx="112">
                  <c:v>1035</c:v>
                </c:pt>
                <c:pt idx="113">
                  <c:v>1104</c:v>
                </c:pt>
                <c:pt idx="114">
                  <c:v>0</c:v>
                </c:pt>
                <c:pt idx="115">
                  <c:v>1840</c:v>
                </c:pt>
                <c:pt idx="116">
                  <c:v>0</c:v>
                </c:pt>
                <c:pt idx="117">
                  <c:v>0</c:v>
                </c:pt>
                <c:pt idx="118">
                  <c:v>0</c:v>
                </c:pt>
                <c:pt idx="119">
                  <c:v>135.1</c:v>
                </c:pt>
                <c:pt idx="120">
                  <c:v>96.5</c:v>
                </c:pt>
                <c:pt idx="121">
                  <c:v>0</c:v>
                </c:pt>
                <c:pt idx="122">
                  <c:v>0</c:v>
                </c:pt>
                <c:pt idx="123">
                  <c:v>0</c:v>
                </c:pt>
                <c:pt idx="124">
                  <c:v>115.8</c:v>
                </c:pt>
                <c:pt idx="125">
                  <c:v>183.35</c:v>
                </c:pt>
                <c:pt idx="126">
                  <c:v>0</c:v>
                </c:pt>
                <c:pt idx="127">
                  <c:v>0</c:v>
                </c:pt>
                <c:pt idx="128">
                  <c:v>0</c:v>
                </c:pt>
                <c:pt idx="129">
                  <c:v>0</c:v>
                </c:pt>
                <c:pt idx="130">
                  <c:v>337.75</c:v>
                </c:pt>
                <c:pt idx="131">
                  <c:v>0</c:v>
                </c:pt>
                <c:pt idx="132">
                  <c:v>405.3</c:v>
                </c:pt>
                <c:pt idx="133">
                  <c:v>0</c:v>
                </c:pt>
                <c:pt idx="134">
                  <c:v>0</c:v>
                </c:pt>
                <c:pt idx="135">
                  <c:v>275.02</c:v>
                </c:pt>
                <c:pt idx="136">
                  <c:v>115.8</c:v>
                </c:pt>
                <c:pt idx="137">
                  <c:v>0</c:v>
                </c:pt>
                <c:pt idx="138">
                  <c:v>0</c:v>
                </c:pt>
                <c:pt idx="139">
                  <c:v>0</c:v>
                </c:pt>
                <c:pt idx="140">
                  <c:v>42</c:v>
                </c:pt>
                <c:pt idx="141">
                  <c:v>50</c:v>
                </c:pt>
                <c:pt idx="142">
                  <c:v>0</c:v>
                </c:pt>
                <c:pt idx="143">
                  <c:v>0</c:v>
                </c:pt>
                <c:pt idx="144">
                  <c:v>0</c:v>
                </c:pt>
                <c:pt idx="145">
                  <c:v>112.5</c:v>
                </c:pt>
                <c:pt idx="146">
                  <c:v>350</c:v>
                </c:pt>
                <c:pt idx="147">
                  <c:v>199.97</c:v>
                </c:pt>
                <c:pt idx="148">
                  <c:v>1299.8399999999999</c:v>
                </c:pt>
                <c:pt idx="149">
                  <c:v>0</c:v>
                </c:pt>
                <c:pt idx="150">
                  <c:v>0</c:v>
                </c:pt>
                <c:pt idx="151">
                  <c:v>0</c:v>
                </c:pt>
                <c:pt idx="152">
                  <c:v>842</c:v>
                </c:pt>
                <c:pt idx="153">
                  <c:v>0</c:v>
                </c:pt>
                <c:pt idx="154">
                  <c:v>0</c:v>
                </c:pt>
                <c:pt idx="155">
                  <c:v>0</c:v>
                </c:pt>
                <c:pt idx="156">
                  <c:v>0</c:v>
                </c:pt>
                <c:pt idx="157">
                  <c:v>1515.6</c:v>
                </c:pt>
                <c:pt idx="158">
                  <c:v>0</c:v>
                </c:pt>
                <c:pt idx="159">
                  <c:v>0</c:v>
                </c:pt>
                <c:pt idx="160">
                  <c:v>0</c:v>
                </c:pt>
                <c:pt idx="161">
                  <c:v>42.1</c:v>
                </c:pt>
                <c:pt idx="162">
                  <c:v>0</c:v>
                </c:pt>
                <c:pt idx="163">
                  <c:v>0</c:v>
                </c:pt>
                <c:pt idx="164">
                  <c:v>0</c:v>
                </c:pt>
                <c:pt idx="165">
                  <c:v>850</c:v>
                </c:pt>
                <c:pt idx="166">
                  <c:v>0</c:v>
                </c:pt>
                <c:pt idx="167">
                  <c:v>0</c:v>
                </c:pt>
                <c:pt idx="168">
                  <c:v>1218</c:v>
                </c:pt>
                <c:pt idx="169">
                  <c:v>0</c:v>
                </c:pt>
                <c:pt idx="170">
                  <c:v>0</c:v>
                </c:pt>
                <c:pt idx="171">
                  <c:v>0</c:v>
                </c:pt>
                <c:pt idx="172">
                  <c:v>0</c:v>
                </c:pt>
                <c:pt idx="173">
                  <c:v>348</c:v>
                </c:pt>
                <c:pt idx="174">
                  <c:v>0</c:v>
                </c:pt>
                <c:pt idx="175">
                  <c:v>0</c:v>
                </c:pt>
                <c:pt idx="176">
                  <c:v>887.4</c:v>
                </c:pt>
                <c:pt idx="177">
                  <c:v>0</c:v>
                </c:pt>
                <c:pt idx="178">
                  <c:v>0</c:v>
                </c:pt>
                <c:pt idx="179">
                  <c:v>243.6</c:v>
                </c:pt>
                <c:pt idx="180">
                  <c:v>0</c:v>
                </c:pt>
                <c:pt idx="181">
                  <c:v>0</c:v>
                </c:pt>
                <c:pt idx="182">
                  <c:v>0</c:v>
                </c:pt>
                <c:pt idx="183">
                  <c:v>0</c:v>
                </c:pt>
                <c:pt idx="184">
                  <c:v>0</c:v>
                </c:pt>
                <c:pt idx="185">
                  <c:v>1600</c:v>
                </c:pt>
                <c:pt idx="186">
                  <c:v>0</c:v>
                </c:pt>
                <c:pt idx="187">
                  <c:v>960</c:v>
                </c:pt>
                <c:pt idx="188">
                  <c:v>400</c:v>
                </c:pt>
                <c:pt idx="189">
                  <c:v>0</c:v>
                </c:pt>
                <c:pt idx="190">
                  <c:v>780</c:v>
                </c:pt>
                <c:pt idx="191">
                  <c:v>0</c:v>
                </c:pt>
                <c:pt idx="192">
                  <c:v>204.75</c:v>
                </c:pt>
                <c:pt idx="193">
                  <c:v>0</c:v>
                </c:pt>
                <c:pt idx="194">
                  <c:v>0</c:v>
                </c:pt>
                <c:pt idx="195">
                  <c:v>0</c:v>
                </c:pt>
                <c:pt idx="196">
                  <c:v>0</c:v>
                </c:pt>
                <c:pt idx="197">
                  <c:v>0</c:v>
                </c:pt>
                <c:pt idx="198">
                  <c:v>554.4</c:v>
                </c:pt>
                <c:pt idx="199">
                  <c:v>140</c:v>
                </c:pt>
                <c:pt idx="200">
                  <c:v>0</c:v>
                </c:pt>
                <c:pt idx="201">
                  <c:v>196</c:v>
                </c:pt>
                <c:pt idx="202">
                  <c:v>0</c:v>
                </c:pt>
                <c:pt idx="203">
                  <c:v>0</c:v>
                </c:pt>
                <c:pt idx="204">
                  <c:v>0</c:v>
                </c:pt>
                <c:pt idx="205">
                  <c:v>0</c:v>
                </c:pt>
                <c:pt idx="206">
                  <c:v>0</c:v>
                </c:pt>
                <c:pt idx="207">
                  <c:v>0</c:v>
                </c:pt>
                <c:pt idx="208">
                  <c:v>0</c:v>
                </c:pt>
                <c:pt idx="209">
                  <c:v>380</c:v>
                </c:pt>
                <c:pt idx="210">
                  <c:v>0</c:v>
                </c:pt>
                <c:pt idx="211">
                  <c:v>0</c:v>
                </c:pt>
                <c:pt idx="212">
                  <c:v>400</c:v>
                </c:pt>
                <c:pt idx="213">
                  <c:v>304</c:v>
                </c:pt>
                <c:pt idx="214">
                  <c:v>0</c:v>
                </c:pt>
                <c:pt idx="215">
                  <c:v>0</c:v>
                </c:pt>
                <c:pt idx="216">
                  <c:v>0</c:v>
                </c:pt>
                <c:pt idx="217">
                  <c:v>0</c:v>
                </c:pt>
                <c:pt idx="218">
                  <c:v>300</c:v>
                </c:pt>
                <c:pt idx="219">
                  <c:v>0</c:v>
                </c:pt>
                <c:pt idx="220">
                  <c:v>0</c:v>
                </c:pt>
                <c:pt idx="221">
                  <c:v>0</c:v>
                </c:pt>
                <c:pt idx="222">
                  <c:v>0</c:v>
                </c:pt>
                <c:pt idx="223">
                  <c:v>0</c:v>
                </c:pt>
                <c:pt idx="224">
                  <c:v>50</c:v>
                </c:pt>
                <c:pt idx="225">
                  <c:v>0</c:v>
                </c:pt>
                <c:pt idx="226">
                  <c:v>0</c:v>
                </c:pt>
                <c:pt idx="227">
                  <c:v>0</c:v>
                </c:pt>
                <c:pt idx="228">
                  <c:v>0</c:v>
                </c:pt>
                <c:pt idx="229">
                  <c:v>0</c:v>
                </c:pt>
                <c:pt idx="230">
                  <c:v>0</c:v>
                </c:pt>
                <c:pt idx="231">
                  <c:v>0</c:v>
                </c:pt>
                <c:pt idx="232">
                  <c:v>0</c:v>
                </c:pt>
                <c:pt idx="233">
                  <c:v>270</c:v>
                </c:pt>
                <c:pt idx="234">
                  <c:v>0</c:v>
                </c:pt>
                <c:pt idx="235">
                  <c:v>0</c:v>
                </c:pt>
                <c:pt idx="236">
                  <c:v>0</c:v>
                </c:pt>
                <c:pt idx="237">
                  <c:v>121.5</c:v>
                </c:pt>
                <c:pt idx="238">
                  <c:v>0</c:v>
                </c:pt>
                <c:pt idx="239">
                  <c:v>378</c:v>
                </c:pt>
                <c:pt idx="240">
                  <c:v>0</c:v>
                </c:pt>
                <c:pt idx="241">
                  <c:v>0</c:v>
                </c:pt>
                <c:pt idx="242">
                  <c:v>504</c:v>
                </c:pt>
                <c:pt idx="243">
                  <c:v>0</c:v>
                </c:pt>
                <c:pt idx="244">
                  <c:v>0</c:v>
                </c:pt>
                <c:pt idx="245">
                  <c:v>46</c:v>
                </c:pt>
                <c:pt idx="246">
                  <c:v>0</c:v>
                </c:pt>
                <c:pt idx="247">
                  <c:v>0</c:v>
                </c:pt>
                <c:pt idx="248">
                  <c:v>0</c:v>
                </c:pt>
                <c:pt idx="249">
                  <c:v>48.3</c:v>
                </c:pt>
                <c:pt idx="250">
                  <c:v>0</c:v>
                </c:pt>
                <c:pt idx="251">
                  <c:v>0</c:v>
                </c:pt>
                <c:pt idx="252">
                  <c:v>437</c:v>
                </c:pt>
                <c:pt idx="253">
                  <c:v>0</c:v>
                </c:pt>
                <c:pt idx="254">
                  <c:v>110.4</c:v>
                </c:pt>
                <c:pt idx="255">
                  <c:v>0</c:v>
                </c:pt>
                <c:pt idx="256">
                  <c:v>0</c:v>
                </c:pt>
                <c:pt idx="257">
                  <c:v>0</c:v>
                </c:pt>
                <c:pt idx="258">
                  <c:v>0</c:v>
                </c:pt>
                <c:pt idx="259">
                  <c:v>0</c:v>
                </c:pt>
                <c:pt idx="260">
                  <c:v>209.76</c:v>
                </c:pt>
                <c:pt idx="261">
                  <c:v>0</c:v>
                </c:pt>
                <c:pt idx="262">
                  <c:v>0</c:v>
                </c:pt>
                <c:pt idx="263">
                  <c:v>0</c:v>
                </c:pt>
                <c:pt idx="264">
                  <c:v>76.5</c:v>
                </c:pt>
                <c:pt idx="265">
                  <c:v>1050</c:v>
                </c:pt>
                <c:pt idx="266">
                  <c:v>2700</c:v>
                </c:pt>
                <c:pt idx="267">
                  <c:v>0</c:v>
                </c:pt>
                <c:pt idx="268">
                  <c:v>0</c:v>
                </c:pt>
                <c:pt idx="269">
                  <c:v>0</c:v>
                </c:pt>
                <c:pt idx="270">
                  <c:v>878</c:v>
                </c:pt>
                <c:pt idx="271">
                  <c:v>0</c:v>
                </c:pt>
                <c:pt idx="272">
                  <c:v>1317</c:v>
                </c:pt>
                <c:pt idx="273">
                  <c:v>0</c:v>
                </c:pt>
                <c:pt idx="274">
                  <c:v>0</c:v>
                </c:pt>
                <c:pt idx="275">
                  <c:v>395.1</c:v>
                </c:pt>
                <c:pt idx="276">
                  <c:v>0</c:v>
                </c:pt>
              </c:numCache>
            </c:numRef>
          </c:val>
          <c:extLst>
            <c:ext xmlns:c16="http://schemas.microsoft.com/office/drawing/2014/chart" uri="{C3380CC4-5D6E-409C-BE32-E72D297353CC}">
              <c16:uniqueId val="{00000003-6469-407E-9C4B-4CC4314D4249}"/>
            </c:ext>
          </c:extLst>
        </c:ser>
        <c:dLbls>
          <c:showLegendKey val="0"/>
          <c:showVal val="0"/>
          <c:showCatName val="0"/>
          <c:showSerName val="0"/>
          <c:showPercent val="0"/>
          <c:showBubbleSize val="0"/>
        </c:dLbls>
        <c:gapWidth val="219"/>
        <c:overlap val="-27"/>
        <c:axId val="1600075743"/>
        <c:axId val="1690139215"/>
      </c:barChart>
      <c:catAx>
        <c:axId val="1600075743"/>
        <c:scaling>
          <c:orientation val="minMax"/>
        </c:scaling>
        <c:delete val="1"/>
        <c:axPos val="b"/>
        <c:numFmt formatCode="General" sourceLinked="1"/>
        <c:majorTickMark val="none"/>
        <c:minorTickMark val="none"/>
        <c:tickLblPos val="nextTo"/>
        <c:crossAx val="1690139215"/>
        <c:crosses val="autoZero"/>
        <c:auto val="1"/>
        <c:lblAlgn val="ctr"/>
        <c:lblOffset val="100"/>
        <c:noMultiLvlLbl val="0"/>
      </c:catAx>
      <c:valAx>
        <c:axId val="1690139215"/>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075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281940</xdr:colOff>
          <xdr:row>7</xdr:row>
          <xdr:rowOff>99060</xdr:rowOff>
        </xdr:from>
        <xdr:to>
          <xdr:col>8</xdr:col>
          <xdr:colOff>190500</xdr:colOff>
          <xdr:row>8</xdr:row>
          <xdr:rowOff>137160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800-000005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Button 5</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30480</xdr:colOff>
      <xdr:row>7</xdr:row>
      <xdr:rowOff>99060</xdr:rowOff>
    </xdr:from>
    <xdr:to>
      <xdr:col>13</xdr:col>
      <xdr:colOff>289560</xdr:colOff>
      <xdr:row>19</xdr:row>
      <xdr:rowOff>87630</xdr:rowOff>
    </xdr:to>
    <xdr:graphicFrame macro="">
      <xdr:nvGraphicFramePr>
        <xdr:cNvPr id="2" name="Chart 1">
          <a:extLst>
            <a:ext uri="{FF2B5EF4-FFF2-40B4-BE49-F238E27FC236}">
              <a16:creationId xmlns:a16="http://schemas.microsoft.com/office/drawing/2014/main" id="{332ACE2C-AA33-AF70-5EBB-258652F44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1</xdr:rowOff>
    </xdr:from>
    <xdr:to>
      <xdr:col>9</xdr:col>
      <xdr:colOff>0</xdr:colOff>
      <xdr:row>8</xdr:row>
      <xdr:rowOff>129541</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6063B05A-B0FA-2E2E-0431-7902DD01626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105400" y="36576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10</xdr:row>
      <xdr:rowOff>38101</xdr:rowOff>
    </xdr:from>
    <xdr:to>
      <xdr:col>5</xdr:col>
      <xdr:colOff>510540</xdr:colOff>
      <xdr:row>16</xdr:row>
      <xdr:rowOff>160021</xdr:rowOff>
    </xdr:to>
    <mc:AlternateContent xmlns:mc="http://schemas.openxmlformats.org/markup-compatibility/2006" xmlns:a14="http://schemas.microsoft.com/office/drawing/2010/main">
      <mc:Choice Requires="a14">
        <xdr:graphicFrame macro="">
          <xdr:nvGraphicFramePr>
            <xdr:cNvPr id="3" name="payment mode 1">
              <a:extLst>
                <a:ext uri="{FF2B5EF4-FFF2-40B4-BE49-F238E27FC236}">
                  <a16:creationId xmlns:a16="http://schemas.microsoft.com/office/drawing/2014/main" id="{F82FEB75-202B-0F07-8814-7EFB70823FB2}"/>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192780" y="1866901"/>
              <a:ext cx="181356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701040</xdr:colOff>
      <xdr:row>17</xdr:row>
      <xdr:rowOff>114301</xdr:rowOff>
    </xdr:from>
    <xdr:to>
      <xdr:col>4</xdr:col>
      <xdr:colOff>861060</xdr:colOff>
      <xdr:row>23</xdr:row>
      <xdr:rowOff>22861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C2F77EB-C3E6-E727-A159-57717ED452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52700" y="3223261"/>
              <a:ext cx="181356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ANT PATIL homeuse" refreshedDate="46219.378149421296" createdVersion="8" refreshedVersion="8" minRefreshableVersion="3" recordCount="25" xr:uid="{1DA347DB-DBE3-4C75-88C3-DA55CE1ABA47}">
  <cacheSource type="worksheet">
    <worksheetSource ref="A1:D26" sheet="jan expenses" r:id="rId2"/>
  </cacheSource>
  <cacheFields count="6">
    <cacheField name="Date" numFmtId="14">
      <sharedItems containsSemiMixedTypes="0" containsNonDate="0" containsDate="1" containsString="0" minDate="2023-02-13T00:00:00" maxDate="2023-03-10T00:00:00" count="25">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sharedItems>
      <fieldGroup par="5"/>
    </cacheField>
    <cacheField name="Category" numFmtId="0">
      <sharedItems count="2">
        <s v="Grocery"/>
        <s v="Food"/>
      </sharedItems>
    </cacheField>
    <cacheField name="Sub category" numFmtId="0">
      <sharedItems count="2">
        <s v="fruite"/>
        <s v="Zomato"/>
      </sharedItems>
    </cacheField>
    <cacheField name="Amount" numFmtId="0">
      <sharedItems containsString="0" containsBlank="1" containsNumber="1" containsInteger="1" minValue="20" maxValue="1700"/>
    </cacheField>
    <cacheField name="Days (Date)" numFmtId="0" databaseField="0">
      <fieldGroup base="0">
        <rangePr groupBy="days" startDate="2023-02-13T00:00:00" endDate="2023-03-10T00:00:00"/>
        <groupItems count="368">
          <s v="&lt;13-0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3-2023"/>
        </groupItems>
      </fieldGroup>
    </cacheField>
    <cacheField name="Months (Date)" numFmtId="0" databaseField="0">
      <fieldGroup base="0">
        <rangePr groupBy="months" startDate="2023-02-13T00:00:00" endDate="2023-03-10T00:00:00"/>
        <groupItems count="14">
          <s v="&lt;13-02-2023"/>
          <s v="Jan"/>
          <s v="Feb"/>
          <s v="Mar"/>
          <s v="Apr"/>
          <s v="May"/>
          <s v="Jun"/>
          <s v="Jul"/>
          <s v="Aug"/>
          <s v="Sep"/>
          <s v="Oct"/>
          <s v="Nov"/>
          <s v="Dec"/>
          <s v="&gt;10-03-2023"/>
        </groupItems>
      </fieldGroup>
    </cacheField>
  </cacheFields>
  <extLst>
    <ext xmlns:x14="http://schemas.microsoft.com/office/spreadsheetml/2009/9/main" uri="{725AE2AE-9491-48be-B2B4-4EB974FC3084}">
      <x14:pivotCacheDefinition pivotCacheId="8982000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ANT PATIL homeuse" refreshedDate="46219.384825694447" createdVersion="8" refreshedVersion="8" minRefreshableVersion="3" recordCount="25" xr:uid="{3D728C10-7F16-4526-9F94-21423CF57DA3}">
  <cacheSource type="worksheet">
    <worksheetSource ref="A1:E26" sheet="jan expenses" r:id="rId2"/>
  </cacheSource>
  <cacheFields count="5">
    <cacheField name="Date" numFmtId="14">
      <sharedItems containsSemiMixedTypes="0" containsNonDate="0" containsDate="1" containsString="0" minDate="2023-02-13T00:00:00" maxDate="2023-03-10T00:00:00"/>
    </cacheField>
    <cacheField name="Category" numFmtId="0">
      <sharedItems/>
    </cacheField>
    <cacheField name="Sub category" numFmtId="0">
      <sharedItems/>
    </cacheField>
    <cacheField name="Amount" numFmtId="0">
      <sharedItems containsString="0" containsBlank="1" containsNumber="1" containsInteger="1" minValue="20" maxValue="1700"/>
    </cacheField>
    <cacheField name="payment mode" numFmtId="0">
      <sharedItems count="3">
        <s v="cash"/>
        <s v="card"/>
        <s v="upi"/>
      </sharedItems>
    </cacheField>
  </cacheFields>
  <extLst>
    <ext xmlns:x14="http://schemas.microsoft.com/office/spreadsheetml/2009/9/main" uri="{725AE2AE-9491-48be-B2B4-4EB974FC3084}">
      <x14:pivotCacheDefinition pivotCacheId="1441706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n v="800"/>
  </r>
  <r>
    <x v="1"/>
    <x v="0"/>
    <x v="0"/>
    <n v="1000"/>
  </r>
  <r>
    <x v="2"/>
    <x v="0"/>
    <x v="0"/>
    <n v="1200"/>
  </r>
  <r>
    <x v="3"/>
    <x v="0"/>
    <x v="1"/>
    <n v="1400"/>
  </r>
  <r>
    <x v="4"/>
    <x v="0"/>
    <x v="1"/>
    <n v="1600"/>
  </r>
  <r>
    <x v="5"/>
    <x v="0"/>
    <x v="0"/>
    <n v="400"/>
  </r>
  <r>
    <x v="6"/>
    <x v="0"/>
    <x v="0"/>
    <n v="600"/>
  </r>
  <r>
    <x v="7"/>
    <x v="0"/>
    <x v="0"/>
    <n v="20"/>
  </r>
  <r>
    <x v="8"/>
    <x v="1"/>
    <x v="1"/>
    <n v="50"/>
  </r>
  <r>
    <x v="9"/>
    <x v="1"/>
    <x v="1"/>
    <n v="900"/>
  </r>
  <r>
    <x v="10"/>
    <x v="1"/>
    <x v="1"/>
    <m/>
  </r>
  <r>
    <x v="11"/>
    <x v="0"/>
    <x v="0"/>
    <m/>
  </r>
  <r>
    <x v="12"/>
    <x v="1"/>
    <x v="1"/>
    <n v="1100"/>
  </r>
  <r>
    <x v="13"/>
    <x v="1"/>
    <x v="1"/>
    <m/>
  </r>
  <r>
    <x v="14"/>
    <x v="1"/>
    <x v="1"/>
    <n v="300"/>
  </r>
  <r>
    <x v="15"/>
    <x v="1"/>
    <x v="0"/>
    <n v="1300"/>
  </r>
  <r>
    <x v="16"/>
    <x v="1"/>
    <x v="0"/>
    <m/>
  </r>
  <r>
    <x v="17"/>
    <x v="1"/>
    <x v="1"/>
    <n v="1500"/>
  </r>
  <r>
    <x v="18"/>
    <x v="1"/>
    <x v="0"/>
    <n v="1700"/>
  </r>
  <r>
    <x v="19"/>
    <x v="1"/>
    <x v="1"/>
    <m/>
  </r>
  <r>
    <x v="20"/>
    <x v="0"/>
    <x v="0"/>
    <m/>
  </r>
  <r>
    <x v="21"/>
    <x v="1"/>
    <x v="1"/>
    <n v="500"/>
  </r>
  <r>
    <x v="22"/>
    <x v="1"/>
    <x v="1"/>
    <m/>
  </r>
  <r>
    <x v="23"/>
    <x v="0"/>
    <x v="0"/>
    <m/>
  </r>
  <r>
    <x v="24"/>
    <x v="1"/>
    <x v="1"/>
    <n v="7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d v="2023-02-13T00:00:00"/>
    <s v="Grocery"/>
    <s v="fruite"/>
    <n v="800"/>
    <x v="0"/>
  </r>
  <r>
    <d v="2023-02-14T00:00:00"/>
    <s v="Grocery"/>
    <s v="fruite"/>
    <n v="1000"/>
    <x v="1"/>
  </r>
  <r>
    <d v="2023-02-15T00:00:00"/>
    <s v="Grocery"/>
    <s v="fruite"/>
    <n v="1200"/>
    <x v="2"/>
  </r>
  <r>
    <d v="2023-02-16T00:00:00"/>
    <s v="Grocery"/>
    <s v="Zomato"/>
    <n v="1400"/>
    <x v="0"/>
  </r>
  <r>
    <d v="2023-02-17T00:00:00"/>
    <s v="Grocery"/>
    <s v="Zomato"/>
    <n v="1600"/>
    <x v="1"/>
  </r>
  <r>
    <d v="2023-02-18T00:00:00"/>
    <s v="Grocery"/>
    <s v="fruite"/>
    <n v="400"/>
    <x v="2"/>
  </r>
  <r>
    <d v="2023-02-19T00:00:00"/>
    <s v="Grocery"/>
    <s v="fruite"/>
    <n v="600"/>
    <x v="0"/>
  </r>
  <r>
    <d v="2023-02-20T00:00:00"/>
    <s v="Grocery"/>
    <s v="fruite"/>
    <n v="20"/>
    <x v="1"/>
  </r>
  <r>
    <d v="2023-02-21T00:00:00"/>
    <s v="Food"/>
    <s v="Zomato"/>
    <n v="50"/>
    <x v="2"/>
  </r>
  <r>
    <d v="2023-02-22T00:00:00"/>
    <s v="Food"/>
    <s v="Zomato"/>
    <n v="900"/>
    <x v="0"/>
  </r>
  <r>
    <d v="2023-02-23T00:00:00"/>
    <s v="Food"/>
    <s v="Zomato"/>
    <m/>
    <x v="1"/>
  </r>
  <r>
    <d v="2023-02-24T00:00:00"/>
    <s v="Grocery"/>
    <s v="fruite"/>
    <m/>
    <x v="2"/>
  </r>
  <r>
    <d v="2023-02-25T00:00:00"/>
    <s v="Food"/>
    <s v="Zomato"/>
    <n v="1100"/>
    <x v="0"/>
  </r>
  <r>
    <d v="2023-02-26T00:00:00"/>
    <s v="Food"/>
    <s v="Zomato"/>
    <m/>
    <x v="1"/>
  </r>
  <r>
    <d v="2023-02-27T00:00:00"/>
    <s v="Food"/>
    <s v="Zomato"/>
    <n v="300"/>
    <x v="2"/>
  </r>
  <r>
    <d v="2023-02-28T00:00:00"/>
    <s v="Food"/>
    <s v="fruite"/>
    <n v="1300"/>
    <x v="0"/>
  </r>
  <r>
    <d v="2023-03-01T00:00:00"/>
    <s v="Food"/>
    <s v="fruite"/>
    <m/>
    <x v="1"/>
  </r>
  <r>
    <d v="2023-03-02T00:00:00"/>
    <s v="Food"/>
    <s v="Zomato"/>
    <n v="1500"/>
    <x v="2"/>
  </r>
  <r>
    <d v="2023-03-03T00:00:00"/>
    <s v="Food"/>
    <s v="fruite"/>
    <n v="1700"/>
    <x v="0"/>
  </r>
  <r>
    <d v="2023-03-04T00:00:00"/>
    <s v="Food"/>
    <s v="Zomato"/>
    <m/>
    <x v="1"/>
  </r>
  <r>
    <d v="2023-03-05T00:00:00"/>
    <s v="Grocery"/>
    <s v="fruite"/>
    <m/>
    <x v="2"/>
  </r>
  <r>
    <d v="2023-03-06T00:00:00"/>
    <s v="Food"/>
    <s v="Zomato"/>
    <n v="500"/>
    <x v="0"/>
  </r>
  <r>
    <d v="2023-03-07T00:00:00"/>
    <s v="Food"/>
    <s v="Zomato"/>
    <m/>
    <x v="1"/>
  </r>
  <r>
    <d v="2023-03-08T00:00:00"/>
    <s v="Grocery"/>
    <s v="fruite"/>
    <m/>
    <x v="2"/>
  </r>
  <r>
    <d v="2023-03-09T00:00:00"/>
    <s v="Food"/>
    <s v="Zomato"/>
    <n v="7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30B0C-ECC9-445D-839C-70109E36EB8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 firstHeaderRow="1" firstDataRow="1" firstDataCol="1"/>
  <pivotFields count="5">
    <pivotField numFmtId="14" showAll="0"/>
    <pivotField showAll="0"/>
    <pivotField showAll="0"/>
    <pivotField dataField="1" showAll="0"/>
    <pivotField axis="axisRow" showAll="0">
      <items count="4">
        <item x="1"/>
        <item h="1" x="0"/>
        <item h="1" x="2"/>
        <item t="default"/>
      </items>
    </pivotField>
  </pivotFields>
  <rowFields count="1">
    <field x="4"/>
  </rowFields>
  <rowItems count="2">
    <i>
      <x/>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BF9B09-0828-4FDB-9CFC-A656B0CAA6A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 firstHeaderRow="1" firstDataRow="1" firstDataCol="1"/>
  <pivotFields count="6">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3">
        <item h="1" x="1"/>
        <item x="0"/>
        <item t="default"/>
      </items>
    </pivotField>
    <pivotField axis="axisRow" showAll="0">
      <items count="3">
        <item x="0"/>
        <item x="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i>
    <i>
      <x v="1"/>
    </i>
  </rowItems>
  <colItems count="1">
    <i/>
  </colItems>
  <dataFields count="1">
    <dataField name="Sum of Amount" fld="3"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4BCB17D-92D4-4DA6-9435-4E7EDD56A2AD}" sourceName="payment mode">
  <pivotTables>
    <pivotTable tabId="18" name="PivotTable14"/>
  </pivotTables>
  <data>
    <tabular pivotCacheId="1441706258">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DA4894-8CF7-4E83-8220-35CF170545D7}" sourceName="Category">
  <pivotTables>
    <pivotTable tabId="18" name="PivotTable10"/>
  </pivotTables>
  <data>
    <tabular pivotCacheId="89820004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A22378E3-0DAE-4B71-9F33-BED085E9E745}" cache="Slicer_payment_mode" caption="payment mode" rowHeight="234950"/>
  <slicer name="payment mode 1" xr10:uid="{05A12850-14CD-4661-A639-77EA085B88C5}" cache="Slicer_payment_mode" caption="payment mode" rowHeight="234950"/>
  <slicer name="Category" xr10:uid="{317C790D-1223-4D02-81D9-524BB47F39B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1637D4-A123-498A-B35D-8FFEB100034D}" name="Table2" displayName="Table2" ref="D4:H29" totalsRowShown="0" headerRowDxfId="130" dataDxfId="129">
  <autoFilter ref="D4:H29" xr:uid="{911637D4-A123-498A-B35D-8FFEB100034D}"/>
  <sortState xmlns:xlrd2="http://schemas.microsoft.com/office/spreadsheetml/2017/richdata2" ref="D5:H29">
    <sortCondition sortBy="cellColor" ref="H5:H29" dxfId="128"/>
    <sortCondition sortBy="cellColor" ref="H5:H29" dxfId="127"/>
  </sortState>
  <tableColumns count="5">
    <tableColumn id="1" xr3:uid="{567C39C9-F7A0-4D06-BB72-C4FC03037BD0}" name="Date" dataDxfId="126"/>
    <tableColumn id="2" xr3:uid="{4BDD077F-1F16-42CB-B673-C4B3FA2763AB}" name="Category" dataDxfId="125"/>
    <tableColumn id="3" xr3:uid="{89BFEDB2-7634-453C-AD66-68E3A30D30E7}" name="Sub category" dataDxfId="124"/>
    <tableColumn id="4" xr3:uid="{359DE8B4-3767-49A5-B33D-87B66F8AE028}" name="Price" dataDxfId="123"/>
    <tableColumn id="5" xr3:uid="{BE5EC6B2-E67A-4779-BACB-CE6953E6E006}" name="Payment mode" dataDxfId="1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26950A-D178-443E-BE30-087F4249E348}" name="Table3" displayName="Table3" ref="C4:C29" totalsRowShown="0" headerRowDxfId="121" dataDxfId="120">
  <tableColumns count="1">
    <tableColumn id="1" xr3:uid="{1E22141E-53E1-404F-ADF8-8309AB5B67D7}" name="b" dataDxfId="1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F20C43-9787-4119-B9D1-508AA3B900D5}" name="Table5" displayName="Table5" ref="K4:P20" totalsRowShown="0" headerRowDxfId="118" dataDxfId="117">
  <autoFilter ref="K4:P20" xr:uid="{A9F20C43-9787-4119-B9D1-508AA3B900D5}"/>
  <sortState xmlns:xlrd2="http://schemas.microsoft.com/office/spreadsheetml/2017/richdata2" ref="K5:P20">
    <sortCondition ref="L9:L20"/>
  </sortState>
  <tableColumns count="6">
    <tableColumn id="1" xr3:uid="{AF800C7E-C06B-486A-B617-5F3AC3B25F55}" name="sr"/>
    <tableColumn id="2" xr3:uid="{66064ADE-2F80-4D63-834E-29F28F6990BD}" name="Date" dataDxfId="116"/>
    <tableColumn id="3" xr3:uid="{ED87ABAB-0442-4797-AC7A-5718E52F71ED}" name="Category" dataDxfId="115"/>
    <tableColumn id="4" xr3:uid="{3E2A7345-0108-493A-942A-26A25C9690BE}" name="Sub category" dataDxfId="114"/>
    <tableColumn id="5" xr3:uid="{C5D287D6-7EA1-4A0B-90A2-6F2E2BCA8CFF}" name="Price" dataDxfId="113"/>
    <tableColumn id="6" xr3:uid="{E2024C3C-09F4-4FC1-97C5-48F18F619C78}" name="Payment mode" dataDxfId="1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49FDD8-3C5C-4209-9DBC-0205408E03AD}" name="Table1" displayName="Table1" ref="B33:E37" totalsRowShown="0">
  <autoFilter ref="B33:E37" xr:uid="{4049FDD8-3C5C-4209-9DBC-0205408E03AD}"/>
  <tableColumns count="4">
    <tableColumn id="1" xr3:uid="{55122916-C3BA-46FD-B862-3DBC1BE492FA}" name="to do"/>
    <tableColumn id="2" xr3:uid="{79C02160-7FF1-4DF5-B584-AF5E0458E946}" name="Column2"/>
    <tableColumn id="3" xr3:uid="{BCADDC7E-E863-455D-A26E-B4B0679E1CFB}" name="Column3"/>
    <tableColumn id="4" xr3:uid="{862575EB-65FC-48A8-9C58-9D1BB85D9E53}" name="Column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F77D72-0841-4428-92EA-1365F7FACC8C}" name="Table6" displayName="Table6" ref="A1:N9" totalsRowShown="0" headerRowDxfId="111">
  <autoFilter ref="A1:N9" xr:uid="{1FF77D72-0841-4428-92EA-1365F7FACC8C}"/>
  <tableColumns count="14">
    <tableColumn id="1" xr3:uid="{5D314236-7F04-40B5-85E0-761BB474C61A}" name="prefix"/>
    <tableColumn id="2" xr3:uid="{74C7AAF6-2466-485C-B875-913BD3698D44}" name="first name"/>
    <tableColumn id="3" xr3:uid="{EB2193D0-136E-4DBF-8FA9-67469BD60F78}" name="last name"/>
    <tableColumn id="4" xr3:uid="{259AB303-B837-47FF-B029-8CBF6E3BB128}" name="concatenate" dataDxfId="110">
      <calculatedColumnFormula>CONCATENATE(Table6[[#This Row],[prefix]],Table6[[#This Row],[first name]],Table6[[#This Row],[last name]])</calculatedColumnFormula>
    </tableColumn>
    <tableColumn id="5" xr3:uid="{7BB283BF-5A19-49A4-867C-860BF383BB67}" name="lower" dataDxfId="109">
      <calculatedColumnFormula>LOWER(Table6[[#This Row],[concatenate]])</calculatedColumnFormula>
    </tableColumn>
    <tableColumn id="6" xr3:uid="{AC52DAA7-87E2-40F5-8D65-FE2B58D5A479}" name="upper" dataDxfId="108">
      <calculatedColumnFormula>UPPER(Table6[[#This Row],[lower]])</calculatedColumnFormula>
    </tableColumn>
    <tableColumn id="7" xr3:uid="{D65AE346-23B5-48B0-8B1C-3227805CF3BD}" name="proper" dataDxfId="107">
      <calculatedColumnFormula>PROPER(Table6[[#This Row],[upper]])</calculatedColumnFormula>
    </tableColumn>
    <tableColumn id="8" xr3:uid="{2ABF5005-12AC-4727-9746-242706EF93BD}" name="length" dataDxfId="106">
      <calculatedColumnFormula>LEN(Table6[[#This Row],[first name]])</calculatedColumnFormula>
    </tableColumn>
    <tableColumn id="9" xr3:uid="{6B08ECF6-4E73-4052-952B-29205632BB6B}" name="left" dataDxfId="105">
      <calculatedColumnFormula>LEFT(Table6[[#This Row],[proper]])</calculatedColumnFormula>
    </tableColumn>
    <tableColumn id="10" xr3:uid="{63B77ABF-F0CF-4E0E-899F-1A6AAA553932}" name="right" dataDxfId="104">
      <calculatedColumnFormula>RIGHT(Table6[[#This Row],[proper]])</calculatedColumnFormula>
    </tableColumn>
    <tableColumn id="11" xr3:uid="{46F35180-0CA0-4F5C-A145-05AC93A9111A}" name="mid" dataDxfId="103">
      <calculatedColumnFormula>MID(Table6[[#This Row],[first name]],1,5)</calculatedColumnFormula>
    </tableColumn>
    <tableColumn id="12" xr3:uid="{3CCBF24E-0C2F-4D59-AB98-000C36A11F93}" name="find" dataDxfId="102">
      <calculatedColumnFormula>FIND("A",Table6[[#This Row],[first name]])</calculatedColumnFormula>
    </tableColumn>
    <tableColumn id="13" xr3:uid="{52F10360-1640-4EA6-BC34-FA0FC5617E45}" name="search" dataDxfId="101">
      <calculatedColumnFormula>SEARCH("n",B4)</calculatedColumnFormula>
    </tableColumn>
    <tableColumn id="14" xr3:uid="{46EC2052-90CD-4565-B9A6-1A4297B54CF6}" name="replace" dataDxfId="100">
      <calculatedColumnFormula>REPLACE(B4,1,1,"anagha")</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CA4778-18AD-473A-BDA3-8E88D4226B5B}" name="Table7" displayName="Table7" ref="A12:L17" totalsRowShown="0" dataDxfId="99">
  <autoFilter ref="A12:L17" xr:uid="{2BCA4778-18AD-473A-BDA3-8E88D4226B5B}"/>
  <tableColumns count="12">
    <tableColumn id="1" xr3:uid="{58848F5D-9739-4219-8E7A-2674B871C03A}" name="full name" dataDxfId="98"/>
    <tableColumn id="2" xr3:uid="{C3973FBD-02C7-4384-80BF-DF928B6EB547}" name="job title " dataDxfId="97"/>
    <tableColumn id="3" xr3:uid="{DC32E0BB-8F7B-4505-8AC1-1FB0A0AE40A0}" name="dept" dataDxfId="96"/>
    <tableColumn id="4" xr3:uid="{078F2697-CB7B-463D-92C0-42560366899A}" name="gender" dataDxfId="95"/>
    <tableColumn id="5" xr3:uid="{4FE93982-F3E8-492B-8921-1F8DF03D2157}" name=" age" dataDxfId="94"/>
    <tableColumn id="6" xr3:uid="{38078E64-C504-4E9E-87A6-29A06E7943BC}" name="hire date" dataDxfId="93"/>
    <tableColumn id="7" xr3:uid="{F230EE12-B1B9-4C7F-94E9-8EAA6B3709E4}" name="country" dataDxfId="92"/>
    <tableColumn id="8" xr3:uid="{B5D543B4-64C5-433F-A9A8-21A748C11302}" name="conditions" dataDxfId="91">
      <calculatedColumnFormula>Table7[[#This Row],[ age]]&gt;18</calculatedColumnFormula>
    </tableColumn>
    <tableColumn id="9" xr3:uid="{56A7B227-4E51-4980-90B9-94BE18A51B1E}" name="if" dataDxfId="90">
      <calculatedColumnFormula>IF(C13="it","Bonus","no_Bonus")</calculatedColumnFormula>
    </tableColumn>
    <tableColumn id="10" xr3:uid="{5AEA8671-34E6-4BF3-A602-C538D98D4207}" name="And" dataDxfId="89">
      <calculatedColumnFormula>IF(AND(C13="it",G13="female"),"Hire","exclude")</calculatedColumnFormula>
    </tableColumn>
    <tableColumn id="11" xr3:uid="{5DEE94BD-462C-4137-B50E-1C84874F0065}" name="or" dataDxfId="88">
      <calculatedColumnFormula>IF(OR(C13="female",G13="china"),"include","exclude")</calculatedColumnFormula>
    </tableColumn>
    <tableColumn id="12" xr3:uid="{19EB3490-F0B9-47D8-B4E3-F6EDDADFDA50}" name="Column1" dataDxfId="8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7D9D20-00E9-4DB4-96E9-9DDC22DF5CAE}" name="Table2115" displayName="Table2115" ref="A1:I26" totalsRowShown="0" headerRowDxfId="86" dataDxfId="85">
  <autoFilter ref="A1:I26" xr:uid="{787D9D20-00E9-4DB4-96E9-9DDC22DF5CAE}"/>
  <tableColumns count="9">
    <tableColumn id="1" xr3:uid="{3D78EDDD-E0BB-4C91-B1D7-B245D1971A13}" name="Date" dataDxfId="84"/>
    <tableColumn id="2" xr3:uid="{99397093-A8EB-4C7D-95AA-58661CECDE37}" name="Category" dataDxfId="83"/>
    <tableColumn id="3" xr3:uid="{D988F6D3-077A-43DD-8F5B-8038390557AB}" name="Sub category" dataDxfId="82"/>
    <tableColumn id="4" xr3:uid="{1E81D135-8850-42EE-A7DF-BF6AB36BC66A}" name="Amount" dataDxfId="81"/>
    <tableColumn id="5" xr3:uid="{0A3BCC92-E0BD-48DF-8680-44CE9B1B4145}" name="Payment mode" dataDxfId="80"/>
    <tableColumn id="6" xr3:uid="{FF892A7A-B4ED-470A-AA87-63452EA68C61}" name="date2" dataDxfId="79"/>
    <tableColumn id="7" xr3:uid="{1BD97882-ABC1-4B76-A99D-E306C23B586A}" name="subcategory" dataDxfId="78"/>
    <tableColumn id="8" xr3:uid="{41DABABE-2D4F-4525-B64F-B2ED6688C455}" name="amount2" dataDxfId="77"/>
    <tableColumn id="9" xr3:uid="{06F7A42D-EAB0-4F5B-8124-32133E005D05}" name="payment mode2" dataDxfId="7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E53BE5-8B16-43D5-90A7-E108BFFC2EEF}" name="Table9" displayName="Table9" ref="A1:L3">
  <autoFilter ref="A1:L3" xr:uid="{3FE53BE5-8B16-43D5-90A7-E108BFFC2EEF}"/>
  <tableColumns count="12">
    <tableColumn id="1" xr3:uid="{4FFEC6A2-0A46-4677-8D86-6D87DE8F262C}" name="today" totalsRowLabel="Total" dataDxfId="75"/>
    <tableColumn id="2" xr3:uid="{0FD36D8B-E71F-4FCA-9C51-363DF18083ED}" name="now" dataDxfId="74">
      <calculatedColumnFormula>NOW()</calculatedColumnFormula>
    </tableColumn>
    <tableColumn id="3" xr3:uid="{17C57EA6-089D-46E2-85FB-5E0C3176B64A}" name="day">
      <calculatedColumnFormula>DAY(B2)</calculatedColumnFormula>
    </tableColumn>
    <tableColumn id="4" xr3:uid="{004B4442-E1A8-4873-A6A6-3ECCB010E0C1}" name="month" dataDxfId="73">
      <calculatedColumnFormula>MONTH(B2)</calculatedColumnFormula>
    </tableColumn>
    <tableColumn id="5" xr3:uid="{7226C476-A343-4516-B652-2DA55C4AFA92}" name="year">
      <calculatedColumnFormula>YEAR(B2)</calculatedColumnFormula>
    </tableColumn>
    <tableColumn id="6" xr3:uid="{FBB886BE-C2B2-4582-A9BD-6033FF4C4C9C}" name="date" dataDxfId="72">
      <calculatedColumnFormula>DATE(Table9[[#This Row],[year]],Table9[[#This Row],[month]],Table9[[#This Row],[day]])</calculatedColumnFormula>
    </tableColumn>
    <tableColumn id="7" xr3:uid="{7971D5A3-2F37-42F2-89A3-6D51E3B97001}" name="hour" dataDxfId="71">
      <calculatedColumnFormula>HOUR(Table9[[#This Row],[now]])</calculatedColumnFormula>
    </tableColumn>
    <tableColumn id="8" xr3:uid="{A6E9DF21-7A47-414F-B773-C55241C7EB5C}" name="mins" dataDxfId="70">
      <calculatedColumnFormula>MIN(Table9[[#This Row],[now]])</calculatedColumnFormula>
    </tableColumn>
    <tableColumn id="9" xr3:uid="{40A28C45-E41A-417C-984E-90997686A106}" name="secs" dataDxfId="69">
      <calculatedColumnFormula>SECOND(NOW())</calculatedColumnFormula>
    </tableColumn>
    <tableColumn id="10" xr3:uid="{6FF92929-53F9-49E1-934E-FBBC2F753079}" name="date+3days" dataDxfId="68">
      <calculatedColumnFormula>Table9[[#This Row],[today]]+3</calculatedColumnFormula>
    </tableColumn>
    <tableColumn id="11" xr3:uid="{D3AC20A1-FCAA-4353-A56E-8169C78FD471}" name="date+3months" dataDxfId="67">
      <calculatedColumnFormula>EDATE(Table9[[#This Row],[today]],3)</calculatedColumnFormula>
    </tableColumn>
    <tableColumn id="12" xr3:uid="{7F7DD834-9A52-4B2C-9815-69BFDE6C5BFF}" name="date+3years" totalsRowFunction="count" dataDxfId="66">
      <calculatedColumnFormula>EDATE(A2,(12*3))</calculatedColumnFormula>
    </tableColumn>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26823DA-369B-4679-BC1C-69B0D6E47C98}" name="Table211" displayName="Table211" ref="A1:E27" totalsRowShown="0" headerRowDxfId="65" dataDxfId="64">
  <autoFilter ref="A1:E27" xr:uid="{F26823DA-369B-4679-BC1C-69B0D6E47C98}"/>
  <tableColumns count="5">
    <tableColumn id="1" xr3:uid="{EA1BC719-D646-4A14-9670-837DAE75C947}" name="Date" dataDxfId="63"/>
    <tableColumn id="2" xr3:uid="{59DE1779-B04B-4C12-A469-E4DBC88249A3}" name="Category" dataDxfId="62"/>
    <tableColumn id="3" xr3:uid="{292D4177-6DA3-4A58-BBEF-4A35F9812D3B}" name="Sub category" dataDxfId="61"/>
    <tableColumn id="4" xr3:uid="{5A88A697-7E2A-41B1-AD5F-9EA33C7B99D8}" name="Amount" dataDxfId="60"/>
    <tableColumn id="5" xr3:uid="{B51D35BE-EB57-4A85-8B51-75D765C1B42E}" name="Payment mode" dataDxfId="5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EE61AA-424C-48D3-BFE0-C0F23844A234}" name="Table8" displayName="Table8" ref="A1:E10" totalsRowShown="0">
  <autoFilter ref="A1:E10" xr:uid="{58EE61AA-424C-48D3-BFE0-C0F23844A234}"/>
  <sortState xmlns:xlrd2="http://schemas.microsoft.com/office/spreadsheetml/2017/richdata2" ref="A2:E9">
    <sortCondition ref="D1:D9"/>
  </sortState>
  <tableColumns count="5">
    <tableColumn id="1" xr3:uid="{A9A924E9-B8AD-4F4E-B4C3-7FCB0F94A24C}" name="EEID"/>
    <tableColumn id="2" xr3:uid="{0588F07B-5CAE-4EDD-AC99-E8F9F068D7B8}" name="full name" dataDxfId="58"/>
    <tableColumn id="3" xr3:uid="{3EF8BEED-DA1A-452B-9E1B-FD33D413EFD7}" name="job title " dataDxfId="57"/>
    <tableColumn id="4" xr3:uid="{8819A88E-8DF4-48D2-8868-FE3A95BF5B58}" name="Annual salary" dataDxfId="56"/>
    <tableColumn id="5" xr3:uid="{32DE9E7C-37FC-4595-81A1-BE4310C9D7E8}" name="bonus" dataDxfId="55">
      <calculatedColumnFormula>LOOKUP(Table8[[#This Row],[Annual salary]],Table11[])</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D0EF5A-20D6-432B-8C7E-DF61B05C04A7}" name="Table11" displayName="Table11" ref="B13:C17" totalsRowShown="0" headerRowDxfId="54">
  <autoFilter ref="B13:C17" xr:uid="{4CD0EF5A-20D6-432B-8C7E-DF61B05C04A7}"/>
  <tableColumns count="2">
    <tableColumn id="1" xr3:uid="{ECE02CCA-22EC-4978-BDF6-A7B4BF07F23C}" name="range" dataDxfId="53"/>
    <tableColumn id="2" xr3:uid="{FE92587C-8892-4823-89A6-670C86904B31}" name="bonus" dataDxfId="5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1B67326-BA09-4690-A78F-B962F4D5DD86}" name="Table17" displayName="Table17" ref="P7:R11" totalsRowShown="0">
  <autoFilter ref="P7:R11" xr:uid="{E1B67326-BA09-4690-A78F-B962F4D5DD86}"/>
  <tableColumns count="3">
    <tableColumn id="1" xr3:uid="{A63D5487-A9E7-4EF4-92A7-569EEF7C96A8}" name="hlookup"/>
    <tableColumn id="2" xr3:uid="{3E0C8C7C-9982-45B6-BA26-417B86090A86}" name="rs"/>
    <tableColumn id="3" xr3:uid="{982B0CA2-D4CE-45A2-AA0D-3E1A671516EF}" name="Column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E73454-8A71-45AD-9B20-1845A044E11C}" name="Table12" displayName="Table12" ref="A1:F1048576" totalsRowShown="0" headerRowDxfId="51" headerRowBorderDxfId="50">
  <autoFilter ref="A1:F1048576" xr:uid="{1EE73454-8A71-45AD-9B20-1845A044E11C}"/>
  <tableColumns count="6">
    <tableColumn id="1" xr3:uid="{9B6A7865-3465-4876-9FC4-37F258E7CBE5}" name="Product"/>
    <tableColumn id="2" xr3:uid="{F4F25A6A-7D2F-4FED-B1EA-8CA657C3CE16}" name="Customer"/>
    <tableColumn id="3" xr3:uid="{56D2BF44-5727-4B3B-8529-8E97FFC52AC1}" name="Qtr 1"/>
    <tableColumn id="4" xr3:uid="{D62DE240-8848-40E1-8B54-FDB4F4814DC8}" name="Qtr 2"/>
    <tableColumn id="5" xr3:uid="{71B7946D-BE32-49E5-825F-705A86D5DBFC}" name="Qtr 3"/>
    <tableColumn id="6" xr3:uid="{788250F4-028D-486D-932C-0A76C7BDEE54}" name="Qtr 4"/>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EADAB8-D1F0-4791-9D7B-7DCF7A0767E1}" name="Table13" displayName="Table13" ref="A1:D26" totalsRowShown="0" headerRowDxfId="49" dataDxfId="48">
  <autoFilter ref="A1:D26" xr:uid="{8CEADAB8-D1F0-4791-9D7B-7DCF7A0767E1}"/>
  <sortState xmlns:xlrd2="http://schemas.microsoft.com/office/spreadsheetml/2017/richdata2" ref="A2:D26">
    <sortCondition descending="1" ref="C2:C26"/>
  </sortState>
  <tableColumns count="4">
    <tableColumn id="1" xr3:uid="{13D75986-B973-41AA-97D2-6323D60B9E5A}" name="date" dataDxfId="47"/>
    <tableColumn id="2" xr3:uid="{64326ADC-EFC5-44A5-88BE-3E38DDE3C29F}" name="subcategory" dataDxfId="46"/>
    <tableColumn id="3" xr3:uid="{CE27E26A-1920-46B6-B1D9-B6387EC80349}" name="amount2" dataDxfId="45"/>
    <tableColumn id="4" xr3:uid="{22F164EB-B3DD-4701-A330-ED101FE5FAF3}" name="payment mode2" dataDxfId="44"/>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E1E07CC-F7CF-451C-BEEF-A7545AE45902}" name="Table14" displayName="Table14" ref="A1:D26" totalsRowShown="0" headerRowDxfId="43" dataDxfId="41" headerRowBorderDxfId="42" tableBorderDxfId="40" totalsRowBorderDxfId="39">
  <autoFilter ref="A1:D26" xr:uid="{6E1E07CC-F7CF-451C-BEEF-A7545AE45902}"/>
  <sortState xmlns:xlrd2="http://schemas.microsoft.com/office/spreadsheetml/2017/richdata2" ref="A2:D26">
    <sortCondition descending="1" ref="C1:C26"/>
  </sortState>
  <tableColumns count="4">
    <tableColumn id="1" xr3:uid="{C12D94A5-FA84-48FF-9C89-268A0A1945E7}" name="date" dataDxfId="38"/>
    <tableColumn id="2" xr3:uid="{8EE9658C-606A-4E65-9371-8E369313E36E}" name="subcategory" dataDxfId="37"/>
    <tableColumn id="3" xr3:uid="{C006564F-0896-4287-95AA-EB125FC42942}" name="amount2" dataDxfId="36"/>
    <tableColumn id="4" xr3:uid="{7D135740-1161-4CF6-B8FA-A8B3C156CCF7}" name="payment mode2" dataDxfId="3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05AAF49-17F9-42D1-A8C8-6554EC1E7E6D}" name="Table23" displayName="Table23" ref="A1:G4" totalsRowShown="0" headerRowDxfId="34" dataDxfId="32" headerRowBorderDxfId="33" tableBorderDxfId="31" totalsRowBorderDxfId="30">
  <autoFilter ref="A1:G4" xr:uid="{505AAF49-17F9-42D1-A8C8-6554EC1E7E6D}"/>
  <tableColumns count="7">
    <tableColumn id="1" xr3:uid="{07AF554F-E48D-4899-BA1A-55EE2D311C5C}" name="Row" dataDxfId="29"/>
    <tableColumn id="2" xr3:uid="{B581F4F2-76F5-43CD-A0B8-FA72E4495C9B}" name="Col A" dataDxfId="28"/>
    <tableColumn id="3" xr3:uid="{6AA83337-DAD5-4CFD-B422-664541D76BC6}" name="Col B" dataDxfId="27"/>
    <tableColumn id="4" xr3:uid="{6F3A9BFC-5E22-4E5C-9496-F31450A0066E}" name="Col C" dataDxfId="26"/>
    <tableColumn id="5" xr3:uid="{8ECA2DA9-9D2B-4D54-9A6F-0A41663428BC}" name="Col D" dataDxfId="25"/>
    <tableColumn id="6" xr3:uid="{738C4AF9-AECC-40F0-9149-12934A24A0CD}" name="Col E" dataDxfId="24"/>
    <tableColumn id="7" xr3:uid="{C21970E1-389A-4324-8C7C-A547240F5853}" name="Col F" dataDxfId="2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FDE9F98-B2A4-471D-A19B-E4EF58B0B89C}" name="Table15" displayName="Table15" ref="A1:F278" totalsRowShown="0" headerRowDxfId="22" dataDxfId="20" headerRowBorderDxfId="21">
  <autoFilter ref="A1:F278" xr:uid="{6FDE9F98-B2A4-471D-A19B-E4EF58B0B89C}"/>
  <tableColumns count="6">
    <tableColumn id="1" xr3:uid="{40D43DAB-4AAB-492E-B8AA-9B05877E24D8}" name="Product" dataDxfId="19"/>
    <tableColumn id="2" xr3:uid="{8F91B4BA-AD60-4886-8372-817AAC0B6BB7}" name="Customer" dataDxfId="18"/>
    <tableColumn id="3" xr3:uid="{2A794861-DAB3-4FC4-906D-48D37BF7092C}" name="Qtr 1" dataDxfId="17"/>
    <tableColumn id="4" xr3:uid="{414AA044-2AD6-4158-92FE-0B6E2E61F602}" name="Qtr 2" dataDxfId="16"/>
    <tableColumn id="5" xr3:uid="{303BE061-6712-4B46-89AD-403890C2C085}" name="Qtr 3" dataDxfId="15"/>
    <tableColumn id="6" xr3:uid="{03969BFD-759C-4B3A-919F-47FAAF7A72D9}" name="Qtr 4" dataDxfId="14"/>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3C16E4E-0BB7-4839-BE26-A9B6767A9D67}" name="Table20" displayName="Table20" ref="A1:D8" totalsRowShown="0" headerRowDxfId="13" dataDxfId="12">
  <autoFilter ref="A1:D8" xr:uid="{D3C16E4E-0BB7-4839-BE26-A9B6767A9D67}"/>
  <tableColumns count="4">
    <tableColumn id="1" xr3:uid="{7CF99116-5C28-4C87-B7C1-CB04953FBB37}" name="Product ID" dataDxfId="11"/>
    <tableColumn id="2" xr3:uid="{EF3294D0-BDA0-4B10-9BBC-B443B5A6459F}" name="Item Name" dataDxfId="10"/>
    <tableColumn id="3" xr3:uid="{E9F76AD2-89B9-4E91-8D4A-80256800A795}" name="Category" dataDxfId="9"/>
    <tableColumn id="4" xr3:uid="{B72D1E65-228D-464C-A87A-7C520C5CD2A6}" name="Price (₹)"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AE16-6E36-48AB-A8E9-CBE825FEC8E8}">
  <sheetPr codeName="Sheet1"/>
  <dimension ref="A1:P39"/>
  <sheetViews>
    <sheetView topLeftCell="A2" zoomScale="96" zoomScaleNormal="100" workbookViewId="0">
      <selection activeCell="B34" sqref="B34:E37"/>
    </sheetView>
  </sheetViews>
  <sheetFormatPr defaultRowHeight="14.4" x14ac:dyDescent="0.3"/>
  <cols>
    <col min="1" max="1" width="8.88671875" customWidth="1"/>
    <col min="2" max="2" width="10.44140625" customWidth="1"/>
    <col min="3" max="3" width="10.77734375" bestFit="1" customWidth="1"/>
    <col min="4" max="4" width="11.109375" customWidth="1"/>
    <col min="5" max="5" width="14.77734375" customWidth="1"/>
    <col min="6" max="6" width="13.33203125" bestFit="1" customWidth="1"/>
    <col min="7" max="7" width="15.88671875" customWidth="1"/>
    <col min="8" max="8" width="10" bestFit="1" customWidth="1"/>
    <col min="9" max="9" width="19.6640625" bestFit="1" customWidth="1"/>
    <col min="11" max="11" width="12.6640625" bestFit="1" customWidth="1"/>
    <col min="12" max="12" width="11.44140625" customWidth="1"/>
    <col min="13" max="13" width="12.21875" customWidth="1"/>
    <col min="14" max="14" width="14.77734375" customWidth="1"/>
    <col min="16" max="16" width="17" customWidth="1"/>
  </cols>
  <sheetData>
    <row r="1" spans="1:16" ht="27.6" customHeight="1" x14ac:dyDescent="0.5">
      <c r="A1" s="69" t="s">
        <v>0</v>
      </c>
      <c r="B1" s="69"/>
      <c r="C1" s="69"/>
      <c r="D1" s="69"/>
      <c r="E1" s="69"/>
      <c r="F1" s="69"/>
      <c r="G1" s="69"/>
      <c r="H1" s="69"/>
      <c r="I1" s="69"/>
      <c r="J1" s="69"/>
      <c r="K1" s="69"/>
      <c r="L1" s="69"/>
      <c r="M1" s="69"/>
      <c r="N1" s="69"/>
    </row>
    <row r="2" spans="1:16" x14ac:dyDescent="0.3">
      <c r="A2" s="1"/>
      <c r="B2" s="1"/>
      <c r="C2" s="1"/>
      <c r="D2" s="1"/>
      <c r="E2" s="1"/>
      <c r="F2" s="1"/>
      <c r="G2" s="1"/>
      <c r="H2" s="1"/>
      <c r="I2" s="1"/>
      <c r="J2" s="1"/>
      <c r="K2" s="1"/>
      <c r="L2" s="1"/>
      <c r="M2" s="1"/>
      <c r="N2" s="1"/>
    </row>
    <row r="3" spans="1:16" x14ac:dyDescent="0.3">
      <c r="G3" s="1"/>
      <c r="H3" s="1"/>
      <c r="I3" s="1"/>
      <c r="J3" s="1"/>
      <c r="K3" s="1"/>
      <c r="L3" s="1"/>
      <c r="M3" s="1"/>
      <c r="N3" s="1"/>
    </row>
    <row r="4" spans="1:16" s="2" customFormat="1" ht="15.6" x14ac:dyDescent="0.3">
      <c r="C4" s="3" t="s">
        <v>40</v>
      </c>
      <c r="D4" s="3" t="s">
        <v>1</v>
      </c>
      <c r="E4" s="3" t="s">
        <v>2</v>
      </c>
      <c r="F4" s="3" t="s">
        <v>3</v>
      </c>
      <c r="G4" s="3" t="s">
        <v>8</v>
      </c>
      <c r="H4" s="3" t="s">
        <v>4</v>
      </c>
      <c r="J4" s="3"/>
      <c r="K4" s="2" t="s">
        <v>31</v>
      </c>
      <c r="L4" s="3" t="s">
        <v>1</v>
      </c>
      <c r="M4" s="3" t="s">
        <v>2</v>
      </c>
      <c r="N4" s="3" t="s">
        <v>3</v>
      </c>
      <c r="O4" s="3" t="s">
        <v>8</v>
      </c>
      <c r="P4" s="3" t="s">
        <v>4</v>
      </c>
    </row>
    <row r="5" spans="1:16" x14ac:dyDescent="0.3">
      <c r="C5" s="1">
        <v>1</v>
      </c>
      <c r="D5" s="1" t="s">
        <v>21</v>
      </c>
      <c r="E5" s="1" t="s">
        <v>13</v>
      </c>
      <c r="F5" s="1" t="s">
        <v>14</v>
      </c>
      <c r="G5" s="1">
        <v>800</v>
      </c>
      <c r="H5" s="10" t="s">
        <v>15</v>
      </c>
      <c r="J5" s="1"/>
      <c r="K5">
        <v>1</v>
      </c>
      <c r="L5" s="6">
        <v>46296</v>
      </c>
      <c r="M5" s="8" t="s">
        <v>6</v>
      </c>
      <c r="N5" s="8" t="s">
        <v>6</v>
      </c>
      <c r="O5" s="8" t="s">
        <v>6</v>
      </c>
      <c r="P5" s="8" t="s">
        <v>6</v>
      </c>
    </row>
    <row r="6" spans="1:16" x14ac:dyDescent="0.3">
      <c r="C6" s="1">
        <v>2</v>
      </c>
      <c r="D6" s="1" t="s">
        <v>25</v>
      </c>
      <c r="E6" s="1" t="s">
        <v>13</v>
      </c>
      <c r="F6" s="1" t="s">
        <v>14</v>
      </c>
      <c r="G6" s="1">
        <v>1000</v>
      </c>
      <c r="H6" s="10" t="s">
        <v>15</v>
      </c>
      <c r="J6" s="1"/>
      <c r="K6">
        <v>2</v>
      </c>
      <c r="L6" s="6">
        <v>46297</v>
      </c>
      <c r="M6" s="8" t="s">
        <v>13</v>
      </c>
      <c r="N6" s="8" t="s">
        <v>13</v>
      </c>
      <c r="O6" s="8" t="s">
        <v>13</v>
      </c>
      <c r="P6" s="8" t="s">
        <v>13</v>
      </c>
    </row>
    <row r="7" spans="1:16" x14ac:dyDescent="0.3">
      <c r="C7" s="1">
        <v>3</v>
      </c>
      <c r="D7" s="1" t="s">
        <v>29</v>
      </c>
      <c r="E7" s="1" t="s">
        <v>13</v>
      </c>
      <c r="F7" s="1" t="s">
        <v>14</v>
      </c>
      <c r="G7" s="1">
        <v>1200</v>
      </c>
      <c r="H7" s="10" t="s">
        <v>15</v>
      </c>
      <c r="J7" s="1"/>
      <c r="K7">
        <v>3</v>
      </c>
      <c r="L7" s="7">
        <v>46298</v>
      </c>
      <c r="M7" s="8" t="s">
        <v>6</v>
      </c>
      <c r="N7" s="8" t="s">
        <v>6</v>
      </c>
      <c r="O7" s="8" t="s">
        <v>6</v>
      </c>
      <c r="P7" s="8" t="s">
        <v>6</v>
      </c>
    </row>
    <row r="8" spans="1:16" x14ac:dyDescent="0.3">
      <c r="C8" s="1">
        <v>4</v>
      </c>
      <c r="D8" s="1" t="s">
        <v>33</v>
      </c>
      <c r="E8" s="1" t="s">
        <v>13</v>
      </c>
      <c r="F8" s="1" t="s">
        <v>7</v>
      </c>
      <c r="G8" s="1">
        <v>1400</v>
      </c>
      <c r="H8" s="10" t="s">
        <v>15</v>
      </c>
      <c r="J8" s="1"/>
      <c r="K8">
        <v>4</v>
      </c>
      <c r="L8" s="6">
        <v>46299</v>
      </c>
      <c r="M8" s="8" t="s">
        <v>6</v>
      </c>
      <c r="N8" s="8" t="s">
        <v>6</v>
      </c>
      <c r="O8" s="8" t="s">
        <v>6</v>
      </c>
      <c r="P8" s="8" t="s">
        <v>6</v>
      </c>
    </row>
    <row r="9" spans="1:16" x14ac:dyDescent="0.3">
      <c r="C9" s="1">
        <v>5</v>
      </c>
      <c r="D9" s="1" t="s">
        <v>36</v>
      </c>
      <c r="E9" s="1" t="s">
        <v>13</v>
      </c>
      <c r="F9" s="1" t="s">
        <v>7</v>
      </c>
      <c r="G9" s="1">
        <v>1600</v>
      </c>
      <c r="H9" s="10" t="s">
        <v>15</v>
      </c>
      <c r="J9" s="1"/>
      <c r="K9">
        <v>5</v>
      </c>
      <c r="L9" s="7">
        <v>46300</v>
      </c>
      <c r="M9" s="8" t="s">
        <v>13</v>
      </c>
      <c r="N9" s="8" t="s">
        <v>13</v>
      </c>
      <c r="O9" s="8" t="s">
        <v>13</v>
      </c>
      <c r="P9" s="8" t="s">
        <v>13</v>
      </c>
    </row>
    <row r="10" spans="1:16" x14ac:dyDescent="0.3">
      <c r="C10" s="1">
        <v>6</v>
      </c>
      <c r="D10" s="1" t="s">
        <v>10</v>
      </c>
      <c r="E10" s="1" t="s">
        <v>13</v>
      </c>
      <c r="F10" s="1" t="s">
        <v>14</v>
      </c>
      <c r="G10" s="5">
        <v>400</v>
      </c>
      <c r="H10" s="10" t="s">
        <v>15</v>
      </c>
      <c r="J10" s="1"/>
      <c r="K10">
        <v>6</v>
      </c>
      <c r="L10" s="6">
        <v>46301</v>
      </c>
      <c r="M10" s="8" t="s">
        <v>6</v>
      </c>
      <c r="N10" s="8" t="s">
        <v>6</v>
      </c>
      <c r="O10" s="8" t="s">
        <v>6</v>
      </c>
      <c r="P10" s="8" t="s">
        <v>6</v>
      </c>
    </row>
    <row r="11" spans="1:16" x14ac:dyDescent="0.3">
      <c r="C11" s="1">
        <v>7</v>
      </c>
      <c r="D11" s="1" t="s">
        <v>17</v>
      </c>
      <c r="E11" s="1" t="s">
        <v>13</v>
      </c>
      <c r="F11" s="1" t="s">
        <v>14</v>
      </c>
      <c r="G11" s="1">
        <v>600</v>
      </c>
      <c r="H11" s="10" t="s">
        <v>15</v>
      </c>
      <c r="J11" s="1"/>
      <c r="K11">
        <v>7</v>
      </c>
      <c r="L11" s="7">
        <v>46302</v>
      </c>
      <c r="M11" s="8" t="s">
        <v>6</v>
      </c>
      <c r="N11" s="8" t="s">
        <v>6</v>
      </c>
      <c r="O11" s="8" t="s">
        <v>6</v>
      </c>
      <c r="P11" s="8" t="s">
        <v>6</v>
      </c>
    </row>
    <row r="12" spans="1:16" x14ac:dyDescent="0.3">
      <c r="C12" s="1">
        <v>8</v>
      </c>
      <c r="D12" s="1" t="s">
        <v>22</v>
      </c>
      <c r="E12" s="1" t="s">
        <v>6</v>
      </c>
      <c r="F12" s="1" t="s">
        <v>7</v>
      </c>
      <c r="G12" s="1"/>
      <c r="H12" s="11" t="s">
        <v>38</v>
      </c>
      <c r="J12" s="1"/>
      <c r="K12">
        <v>8</v>
      </c>
      <c r="L12" s="6">
        <v>46303</v>
      </c>
      <c r="M12" s="8" t="s">
        <v>13</v>
      </c>
      <c r="N12" s="8" t="s">
        <v>13</v>
      </c>
      <c r="O12" s="8" t="s">
        <v>13</v>
      </c>
      <c r="P12" s="8" t="s">
        <v>13</v>
      </c>
    </row>
    <row r="13" spans="1:16" x14ac:dyDescent="0.3">
      <c r="C13" s="1">
        <v>9</v>
      </c>
      <c r="D13" s="1" t="s">
        <v>23</v>
      </c>
      <c r="E13" s="1" t="s">
        <v>13</v>
      </c>
      <c r="F13" s="1" t="s">
        <v>14</v>
      </c>
      <c r="G13" s="1"/>
      <c r="H13" s="11" t="s">
        <v>39</v>
      </c>
      <c r="J13" s="1"/>
      <c r="K13">
        <v>9</v>
      </c>
      <c r="L13" s="7">
        <v>46304</v>
      </c>
      <c r="M13" s="8" t="s">
        <v>6</v>
      </c>
      <c r="N13" s="8" t="s">
        <v>6</v>
      </c>
      <c r="O13" s="8" t="s">
        <v>6</v>
      </c>
      <c r="P13" s="8" t="s">
        <v>6</v>
      </c>
    </row>
    <row r="14" spans="1:16" x14ac:dyDescent="0.3">
      <c r="C14" s="1">
        <v>10</v>
      </c>
      <c r="D14" s="1" t="s">
        <v>24</v>
      </c>
      <c r="E14" s="1" t="s">
        <v>6</v>
      </c>
      <c r="F14" s="1" t="s">
        <v>7</v>
      </c>
      <c r="G14" s="1">
        <v>900</v>
      </c>
      <c r="H14" s="9" t="s">
        <v>9</v>
      </c>
      <c r="J14" s="1"/>
      <c r="K14">
        <v>10</v>
      </c>
      <c r="L14" s="6">
        <v>46305</v>
      </c>
      <c r="M14" s="8" t="s">
        <v>6</v>
      </c>
      <c r="N14" s="8" t="s">
        <v>6</v>
      </c>
      <c r="O14" s="8" t="s">
        <v>6</v>
      </c>
      <c r="P14" s="8" t="s">
        <v>6</v>
      </c>
    </row>
    <row r="15" spans="1:16" x14ac:dyDescent="0.3">
      <c r="C15" s="1">
        <v>11</v>
      </c>
      <c r="D15" s="1" t="s">
        <v>26</v>
      </c>
      <c r="E15" s="1" t="s">
        <v>6</v>
      </c>
      <c r="F15" s="1" t="s">
        <v>7</v>
      </c>
      <c r="G15" s="1"/>
      <c r="H15" s="9" t="s">
        <v>9</v>
      </c>
      <c r="J15" s="1"/>
      <c r="K15">
        <v>11</v>
      </c>
      <c r="L15" s="7">
        <v>46306</v>
      </c>
      <c r="M15" s="8" t="s">
        <v>13</v>
      </c>
      <c r="N15" s="8" t="s">
        <v>13</v>
      </c>
      <c r="O15" s="8" t="s">
        <v>13</v>
      </c>
      <c r="P15" s="8" t="s">
        <v>13</v>
      </c>
    </row>
    <row r="16" spans="1:16" x14ac:dyDescent="0.3">
      <c r="C16" s="1">
        <v>12</v>
      </c>
      <c r="D16" s="1" t="s">
        <v>27</v>
      </c>
      <c r="E16" s="1" t="s">
        <v>13</v>
      </c>
      <c r="F16" s="1" t="s">
        <v>14</v>
      </c>
      <c r="G16" s="1"/>
      <c r="H16" s="9" t="s">
        <v>9</v>
      </c>
      <c r="J16" s="1"/>
      <c r="K16">
        <v>12</v>
      </c>
      <c r="L16" s="6">
        <v>46307</v>
      </c>
      <c r="M16" s="8" t="s">
        <v>6</v>
      </c>
      <c r="N16" s="8" t="s">
        <v>6</v>
      </c>
      <c r="O16" s="8" t="s">
        <v>6</v>
      </c>
      <c r="P16" s="8" t="s">
        <v>6</v>
      </c>
    </row>
    <row r="17" spans="3:16" x14ac:dyDescent="0.3">
      <c r="C17" s="1">
        <v>13</v>
      </c>
      <c r="D17" s="1" t="s">
        <v>28</v>
      </c>
      <c r="E17" s="1" t="s">
        <v>6</v>
      </c>
      <c r="F17" s="1" t="s">
        <v>7</v>
      </c>
      <c r="G17" s="1">
        <v>1100</v>
      </c>
      <c r="H17" s="9" t="s">
        <v>9</v>
      </c>
      <c r="J17" s="1"/>
      <c r="K17">
        <v>13</v>
      </c>
      <c r="L17" s="7">
        <v>46308</v>
      </c>
      <c r="M17" s="8" t="s">
        <v>6</v>
      </c>
      <c r="N17" s="8" t="s">
        <v>6</v>
      </c>
      <c r="O17" s="8" t="s">
        <v>6</v>
      </c>
      <c r="P17" s="8" t="s">
        <v>6</v>
      </c>
    </row>
    <row r="18" spans="3:16" x14ac:dyDescent="0.3">
      <c r="C18" s="1">
        <v>14</v>
      </c>
      <c r="D18" s="1" t="s">
        <v>30</v>
      </c>
      <c r="E18" s="1" t="s">
        <v>6</v>
      </c>
      <c r="F18" s="1" t="s">
        <v>7</v>
      </c>
      <c r="G18" s="1"/>
      <c r="H18" s="9" t="s">
        <v>9</v>
      </c>
      <c r="J18" s="1"/>
      <c r="K18">
        <v>14</v>
      </c>
      <c r="L18" s="6">
        <v>46309</v>
      </c>
      <c r="M18" s="8" t="s">
        <v>13</v>
      </c>
      <c r="N18" s="8" t="s">
        <v>13</v>
      </c>
      <c r="O18" s="8" t="s">
        <v>13</v>
      </c>
      <c r="P18" s="8" t="s">
        <v>13</v>
      </c>
    </row>
    <row r="19" spans="3:16" x14ac:dyDescent="0.3">
      <c r="C19" s="1">
        <v>15</v>
      </c>
      <c r="D19" s="1" t="s">
        <v>5</v>
      </c>
      <c r="E19" s="1" t="s">
        <v>6</v>
      </c>
      <c r="F19" s="1" t="s">
        <v>7</v>
      </c>
      <c r="G19" s="4">
        <v>300</v>
      </c>
      <c r="H19" s="9" t="s">
        <v>9</v>
      </c>
      <c r="J19" s="1"/>
      <c r="K19">
        <v>15</v>
      </c>
      <c r="L19" s="7">
        <v>46310</v>
      </c>
      <c r="M19" s="8" t="s">
        <v>6</v>
      </c>
      <c r="N19" s="8" t="s">
        <v>6</v>
      </c>
      <c r="O19" s="8" t="s">
        <v>6</v>
      </c>
      <c r="P19" s="8" t="s">
        <v>6</v>
      </c>
    </row>
    <row r="20" spans="3:16" x14ac:dyDescent="0.3">
      <c r="C20" s="1">
        <v>16</v>
      </c>
      <c r="D20" s="1" t="s">
        <v>32</v>
      </c>
      <c r="E20" s="1" t="s">
        <v>6</v>
      </c>
      <c r="F20" s="1" t="s">
        <v>14</v>
      </c>
      <c r="G20" s="1">
        <v>1300</v>
      </c>
      <c r="H20" s="9" t="s">
        <v>9</v>
      </c>
      <c r="J20" s="1"/>
      <c r="K20">
        <v>16</v>
      </c>
      <c r="L20" s="6">
        <v>46311</v>
      </c>
      <c r="M20" s="8" t="s">
        <v>6</v>
      </c>
      <c r="N20" s="8" t="s">
        <v>6</v>
      </c>
      <c r="O20" s="8" t="s">
        <v>6</v>
      </c>
      <c r="P20" s="8" t="s">
        <v>6</v>
      </c>
    </row>
    <row r="21" spans="3:16" x14ac:dyDescent="0.3">
      <c r="C21" s="1">
        <v>17</v>
      </c>
      <c r="D21" s="1" t="s">
        <v>34</v>
      </c>
      <c r="E21" s="1" t="s">
        <v>6</v>
      </c>
      <c r="F21" s="1" t="s">
        <v>14</v>
      </c>
      <c r="G21" s="1"/>
      <c r="H21" s="9" t="s">
        <v>9</v>
      </c>
      <c r="J21" s="1"/>
      <c r="K21" s="1"/>
      <c r="M21" s="1"/>
      <c r="N21" s="1"/>
    </row>
    <row r="22" spans="3:16" x14ac:dyDescent="0.3">
      <c r="C22" s="1">
        <v>18</v>
      </c>
      <c r="D22" s="1" t="s">
        <v>35</v>
      </c>
      <c r="E22" s="1" t="s">
        <v>6</v>
      </c>
      <c r="F22" s="1" t="s">
        <v>7</v>
      </c>
      <c r="G22" s="1">
        <v>1500</v>
      </c>
      <c r="H22" s="9" t="s">
        <v>9</v>
      </c>
      <c r="J22" s="1"/>
      <c r="K22" s="1"/>
      <c r="M22" s="1"/>
      <c r="N22" s="1"/>
    </row>
    <row r="23" spans="3:16" x14ac:dyDescent="0.3">
      <c r="C23" s="1">
        <v>19</v>
      </c>
      <c r="D23" s="1" t="s">
        <v>37</v>
      </c>
      <c r="E23" s="1" t="s">
        <v>6</v>
      </c>
      <c r="F23" s="1" t="s">
        <v>14</v>
      </c>
      <c r="G23" s="1">
        <v>1700</v>
      </c>
      <c r="H23" s="9" t="s">
        <v>9</v>
      </c>
      <c r="J23" s="1"/>
      <c r="K23" s="1"/>
      <c r="L23" s="1"/>
      <c r="M23" s="1"/>
      <c r="N23" s="1"/>
    </row>
    <row r="24" spans="3:16" x14ac:dyDescent="0.3">
      <c r="C24" s="1">
        <v>20</v>
      </c>
      <c r="D24" s="1" t="s">
        <v>11</v>
      </c>
      <c r="E24" s="1" t="s">
        <v>6</v>
      </c>
      <c r="F24" s="1" t="s">
        <v>7</v>
      </c>
      <c r="G24" s="1"/>
      <c r="H24" s="9" t="s">
        <v>9</v>
      </c>
      <c r="J24" s="1"/>
      <c r="K24" s="1"/>
      <c r="L24" s="1"/>
      <c r="M24" s="1"/>
      <c r="N24" s="1"/>
    </row>
    <row r="25" spans="3:16" x14ac:dyDescent="0.3">
      <c r="C25" s="1">
        <v>21</v>
      </c>
      <c r="D25" s="1" t="s">
        <v>12</v>
      </c>
      <c r="E25" s="1" t="s">
        <v>13</v>
      </c>
      <c r="F25" s="1" t="s">
        <v>14</v>
      </c>
      <c r="G25" s="1"/>
      <c r="H25" s="9" t="s">
        <v>9</v>
      </c>
      <c r="J25" s="1"/>
      <c r="K25" s="1"/>
      <c r="M25" s="1"/>
      <c r="N25" s="1"/>
    </row>
    <row r="26" spans="3:16" x14ac:dyDescent="0.3">
      <c r="C26" s="1">
        <v>22</v>
      </c>
      <c r="D26" s="1" t="s">
        <v>16</v>
      </c>
      <c r="E26" s="1" t="s">
        <v>6</v>
      </c>
      <c r="F26" s="1" t="s">
        <v>7</v>
      </c>
      <c r="G26" s="1">
        <v>500</v>
      </c>
      <c r="H26" s="9" t="s">
        <v>9</v>
      </c>
      <c r="J26" s="1"/>
      <c r="K26" s="1"/>
      <c r="M26" s="1"/>
      <c r="N26" s="1"/>
    </row>
    <row r="27" spans="3:16" x14ac:dyDescent="0.3">
      <c r="C27" s="1">
        <v>23</v>
      </c>
      <c r="D27" s="1" t="s">
        <v>18</v>
      </c>
      <c r="E27" s="1" t="s">
        <v>6</v>
      </c>
      <c r="F27" s="1" t="s">
        <v>7</v>
      </c>
      <c r="G27" s="1"/>
      <c r="H27" s="9" t="s">
        <v>9</v>
      </c>
      <c r="K27" s="1"/>
    </row>
    <row r="28" spans="3:16" x14ac:dyDescent="0.3">
      <c r="C28" s="1">
        <v>24</v>
      </c>
      <c r="D28" s="1" t="s">
        <v>19</v>
      </c>
      <c r="E28" s="1" t="s">
        <v>13</v>
      </c>
      <c r="F28" s="1" t="s">
        <v>14</v>
      </c>
      <c r="G28" s="1"/>
      <c r="H28" s="9" t="s">
        <v>9</v>
      </c>
    </row>
    <row r="29" spans="3:16" x14ac:dyDescent="0.3">
      <c r="C29" s="1">
        <v>25</v>
      </c>
      <c r="D29" s="1" t="s">
        <v>20</v>
      </c>
      <c r="E29" s="1" t="s">
        <v>6</v>
      </c>
      <c r="F29" s="1" t="s">
        <v>7</v>
      </c>
      <c r="G29" s="1">
        <v>700</v>
      </c>
      <c r="H29" s="9" t="s">
        <v>9</v>
      </c>
    </row>
    <row r="33" spans="2:10" x14ac:dyDescent="0.3">
      <c r="B33" t="s">
        <v>49</v>
      </c>
      <c r="C33" t="s">
        <v>46</v>
      </c>
      <c r="D33" t="s">
        <v>47</v>
      </c>
      <c r="E33" t="s">
        <v>48</v>
      </c>
    </row>
    <row r="34" spans="2:10" x14ac:dyDescent="0.3">
      <c r="B34" t="s">
        <v>41</v>
      </c>
      <c r="C34">
        <v>5</v>
      </c>
      <c r="D34">
        <v>3</v>
      </c>
      <c r="E34">
        <f>C34+D34</f>
        <v>8</v>
      </c>
    </row>
    <row r="35" spans="2:10" x14ac:dyDescent="0.3">
      <c r="B35" t="s">
        <v>42</v>
      </c>
      <c r="C35">
        <v>5</v>
      </c>
      <c r="D35">
        <v>3</v>
      </c>
      <c r="E35">
        <f>C35-D35</f>
        <v>2</v>
      </c>
    </row>
    <row r="36" spans="2:10" x14ac:dyDescent="0.3">
      <c r="B36" t="s">
        <v>43</v>
      </c>
      <c r="C36">
        <v>5</v>
      </c>
      <c r="D36">
        <v>3</v>
      </c>
      <c r="E36">
        <f>C36*D36</f>
        <v>15</v>
      </c>
    </row>
    <row r="37" spans="2:10" x14ac:dyDescent="0.3">
      <c r="B37" t="s">
        <v>44</v>
      </c>
      <c r="C37">
        <v>9</v>
      </c>
      <c r="D37">
        <v>3</v>
      </c>
      <c r="E37">
        <f>C37/D37</f>
        <v>3</v>
      </c>
    </row>
    <row r="39" spans="2:10" x14ac:dyDescent="0.3">
      <c r="B39" t="s">
        <v>50</v>
      </c>
      <c r="C39" t="s">
        <v>51</v>
      </c>
      <c r="D39" t="s">
        <v>52</v>
      </c>
      <c r="E39" t="s">
        <v>53</v>
      </c>
      <c r="F39" t="s">
        <v>54</v>
      </c>
      <c r="G39" t="s">
        <v>55</v>
      </c>
      <c r="H39" t="s">
        <v>56</v>
      </c>
      <c r="I39" t="s">
        <v>57</v>
      </c>
      <c r="J39" t="s">
        <v>58</v>
      </c>
    </row>
  </sheetData>
  <mergeCells count="1">
    <mergeCell ref="A1:N1"/>
  </mergeCells>
  <phoneticPr fontId="3" type="noConversion"/>
  <pageMargins left="0.7" right="0.7" top="0.75" bottom="0.75" header="0.3" footer="0.3"/>
  <pageSetup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ED35-3C93-45C4-A85F-2E5F3DCFDF44}">
  <sheetPr codeName="Sheet2"/>
  <dimension ref="A1:N17"/>
  <sheetViews>
    <sheetView workbookViewId="0">
      <selection activeCell="J19" sqref="J19"/>
    </sheetView>
  </sheetViews>
  <sheetFormatPr defaultRowHeight="14.4" x14ac:dyDescent="0.3"/>
  <cols>
    <col min="1" max="1" width="10.77734375" customWidth="1"/>
    <col min="2" max="2" width="16.109375" bestFit="1" customWidth="1"/>
    <col min="3" max="3" width="13.5546875" bestFit="1" customWidth="1"/>
    <col min="4" max="4" width="15.88671875" bestFit="1" customWidth="1"/>
    <col min="5" max="5" width="12.77734375" bestFit="1" customWidth="1"/>
    <col min="6" max="6" width="15.5546875" bestFit="1" customWidth="1"/>
    <col min="7" max="7" width="13.44140625" bestFit="1" customWidth="1"/>
    <col min="8" max="8" width="11.6640625" customWidth="1"/>
    <col min="9" max="9" width="8.21875" bestFit="1" customWidth="1"/>
    <col min="10" max="10" width="9.33203125" bestFit="1" customWidth="1"/>
    <col min="11" max="11" width="8.6640625" bestFit="1" customWidth="1"/>
  </cols>
  <sheetData>
    <row r="1" spans="1:14" x14ac:dyDescent="0.3">
      <c r="A1" s="1" t="s">
        <v>50</v>
      </c>
      <c r="B1" s="1" t="s">
        <v>59</v>
      </c>
      <c r="C1" s="1" t="s">
        <v>52</v>
      </c>
      <c r="D1" s="1" t="s">
        <v>54</v>
      </c>
      <c r="E1" s="1" t="s">
        <v>55</v>
      </c>
      <c r="F1" s="1" t="s">
        <v>56</v>
      </c>
      <c r="G1" s="1" t="s">
        <v>57</v>
      </c>
      <c r="H1" s="1" t="s">
        <v>58</v>
      </c>
      <c r="I1" s="1" t="s">
        <v>60</v>
      </c>
      <c r="J1" s="1" t="s">
        <v>61</v>
      </c>
      <c r="K1" s="1" t="s">
        <v>62</v>
      </c>
      <c r="L1" s="1" t="s">
        <v>70</v>
      </c>
      <c r="M1" s="1" t="s">
        <v>71</v>
      </c>
      <c r="N1" s="1" t="s">
        <v>72</v>
      </c>
    </row>
    <row r="2" spans="1:14" x14ac:dyDescent="0.3">
      <c r="A2" t="s">
        <v>63</v>
      </c>
      <c r="B2" t="s">
        <v>68</v>
      </c>
      <c r="C2" t="s">
        <v>69</v>
      </c>
      <c r="D2" t="str">
        <f>CONCATENATE(Table6[[#This Row],[prefix]],Table6[[#This Row],[first name]],Table6[[#This Row],[last name]])</f>
        <v>Mr.NINADPATIL</v>
      </c>
      <c r="E2" t="str">
        <f>LOWER(Table6[[#This Row],[concatenate]])</f>
        <v>mr.ninadpatil</v>
      </c>
      <c r="F2" t="str">
        <f>UPPER(Table6[[#This Row],[lower]])</f>
        <v>MR.NINADPATIL</v>
      </c>
      <c r="G2" t="str">
        <f>PROPER(Table6[[#This Row],[upper]])</f>
        <v>Mr.Ninadpatil</v>
      </c>
      <c r="H2">
        <f>LEN(Table6[[#This Row],[first name]])</f>
        <v>5</v>
      </c>
      <c r="I2" t="str">
        <f>LEFT(Table6[[#This Row],[proper]])</f>
        <v>M</v>
      </c>
      <c r="J2" t="str">
        <f>RIGHT(Table6[[#This Row],[proper]])</f>
        <v>l</v>
      </c>
      <c r="K2" t="str">
        <f>MID(Table6[[#This Row],[first name]],3,1)</f>
        <v>N</v>
      </c>
      <c r="L2">
        <f>FIND("A",Table6[[#This Row],[first name]])</f>
        <v>4</v>
      </c>
      <c r="M2">
        <f t="shared" ref="M2:M7" si="0">SEARCH("n",B4)</f>
        <v>2</v>
      </c>
      <c r="N2" t="str">
        <f>REPLACE(B4,1,3,"anagha")</f>
        <v>anagha</v>
      </c>
    </row>
    <row r="3" spans="1:14" x14ac:dyDescent="0.3">
      <c r="A3" t="s">
        <v>63</v>
      </c>
      <c r="B3" t="s">
        <v>64</v>
      </c>
      <c r="C3" t="s">
        <v>65</v>
      </c>
      <c r="D3" t="str">
        <f>CONCATENATE(Table6[[#This Row],[prefix]],Table6[[#This Row],[first name]],Table6[[#This Row],[last name]])</f>
        <v>Mr.aartiwagh</v>
      </c>
      <c r="E3" t="str">
        <f>LOWER(Table6[[#This Row],[concatenate]])</f>
        <v>mr.aartiwagh</v>
      </c>
      <c r="F3" t="str">
        <f>UPPER(Table6[[#This Row],[lower]])</f>
        <v>MR.AARTIWAGH</v>
      </c>
      <c r="G3" t="str">
        <f>PROPER(Table6[[#This Row],[upper]])</f>
        <v>Mr.Aartiwagh</v>
      </c>
      <c r="H3">
        <f>LEN(Table6[[#This Row],[first name]])</f>
        <v>5</v>
      </c>
      <c r="I3" t="str">
        <f>LEFT(Table6[[#This Row],[proper]])</f>
        <v>M</v>
      </c>
      <c r="J3" t="str">
        <f>RIGHT(Table6[[#This Row],[proper]])</f>
        <v>h</v>
      </c>
      <c r="K3" t="str">
        <f>MID(Table6[[#This Row],[first name]],3,1)</f>
        <v>r</v>
      </c>
      <c r="M3" t="e">
        <f t="shared" si="0"/>
        <v>#VALUE!</v>
      </c>
      <c r="N3" t="str">
        <f t="shared" ref="N3:N7" si="1">REPLACE(B5,1,1,"anagha")</f>
        <v>anagha</v>
      </c>
    </row>
    <row r="4" spans="1:14" x14ac:dyDescent="0.3">
      <c r="A4" t="s">
        <v>63</v>
      </c>
      <c r="B4" t="s">
        <v>66</v>
      </c>
      <c r="C4" t="s">
        <v>67</v>
      </c>
      <c r="D4" t="str">
        <f>CONCATENATE(Table6[[#This Row],[prefix]],Table6[[#This Row],[first name]],Table6[[#This Row],[last name]])</f>
        <v>Mr.anupatil</v>
      </c>
      <c r="E4" t="str">
        <f>LOWER(Table6[[#This Row],[concatenate]])</f>
        <v>mr.anupatil</v>
      </c>
      <c r="F4" t="str">
        <f>UPPER(Table6[[#This Row],[lower]])</f>
        <v>MR.ANUPATIL</v>
      </c>
      <c r="G4" t="str">
        <f>PROPER(Table6[[#This Row],[upper]])</f>
        <v>Mr.Anupatil</v>
      </c>
      <c r="H4">
        <f>LEN(Table6[[#This Row],[first name]])</f>
        <v>3</v>
      </c>
      <c r="I4" t="str">
        <f>LEFT(Table6[[#This Row],[proper]])</f>
        <v>M</v>
      </c>
      <c r="J4" t="str">
        <f>RIGHT(Table6[[#This Row],[proper]])</f>
        <v>l</v>
      </c>
      <c r="K4" t="str">
        <f>MID(Table6[[#This Row],[first name]],3,1)</f>
        <v>u</v>
      </c>
      <c r="M4" t="e">
        <f t="shared" si="0"/>
        <v>#VALUE!</v>
      </c>
      <c r="N4" t="str">
        <f t="shared" si="1"/>
        <v>anagha</v>
      </c>
    </row>
    <row r="5" spans="1:14" x14ac:dyDescent="0.3">
      <c r="A5" t="s">
        <v>63</v>
      </c>
      <c r="D5" t="str">
        <f>CONCATENATE(Table6[[#This Row],[prefix]],Table6[[#This Row],[first name]],Table6[[#This Row],[last name]])</f>
        <v>Mr.</v>
      </c>
      <c r="E5" t="str">
        <f>LOWER(Table6[[#This Row],[concatenate]])</f>
        <v>mr.</v>
      </c>
      <c r="F5" t="str">
        <f>UPPER(Table6[[#This Row],[lower]])</f>
        <v>MR.</v>
      </c>
      <c r="G5" t="str">
        <f>PROPER(Table6[[#This Row],[upper]])</f>
        <v>Mr.</v>
      </c>
      <c r="H5">
        <f>LEN(Table6[[#This Row],[first name]])</f>
        <v>0</v>
      </c>
      <c r="I5" t="str">
        <f>LEFT(Table6[[#This Row],[proper]])</f>
        <v>M</v>
      </c>
      <c r="J5" t="str">
        <f>RIGHT(Table6[[#This Row],[proper]])</f>
        <v>.</v>
      </c>
      <c r="K5" t="str">
        <f>MID(Table6[[#This Row],[first name]],1,5)</f>
        <v/>
      </c>
      <c r="M5" t="e">
        <f t="shared" si="0"/>
        <v>#VALUE!</v>
      </c>
      <c r="N5" t="str">
        <f t="shared" si="1"/>
        <v>anagha</v>
      </c>
    </row>
    <row r="6" spans="1:14" x14ac:dyDescent="0.3">
      <c r="A6" t="s">
        <v>63</v>
      </c>
      <c r="D6" t="str">
        <f>CONCATENATE(Table6[[#This Row],[prefix]],Table6[[#This Row],[first name]],Table6[[#This Row],[last name]])</f>
        <v>Mr.</v>
      </c>
      <c r="E6" t="str">
        <f>LOWER(Table6[[#This Row],[concatenate]])</f>
        <v>mr.</v>
      </c>
      <c r="F6" t="str">
        <f>UPPER(Table6[[#This Row],[lower]])</f>
        <v>MR.</v>
      </c>
      <c r="G6" t="str">
        <f>PROPER(Table6[[#This Row],[upper]])</f>
        <v>Mr.</v>
      </c>
      <c r="H6">
        <f>LEN(Table6[[#This Row],[first name]])</f>
        <v>0</v>
      </c>
      <c r="I6" t="str">
        <f>LEFT(Table6[[#This Row],[proper]])</f>
        <v>M</v>
      </c>
      <c r="J6" t="str">
        <f>RIGHT(Table6[[#This Row],[proper]])</f>
        <v>.</v>
      </c>
      <c r="K6" t="str">
        <f>MID(Table6[[#This Row],[first name]],1,5)</f>
        <v/>
      </c>
      <c r="M6" t="e">
        <f t="shared" si="0"/>
        <v>#VALUE!</v>
      </c>
      <c r="N6" t="str">
        <f t="shared" si="1"/>
        <v>anagha</v>
      </c>
    </row>
    <row r="7" spans="1:14" x14ac:dyDescent="0.3">
      <c r="A7" t="s">
        <v>63</v>
      </c>
      <c r="D7" t="str">
        <f>CONCATENATE(Table6[[#This Row],[prefix]],Table6[[#This Row],[first name]],Table6[[#This Row],[last name]])</f>
        <v>Mr.</v>
      </c>
      <c r="E7" t="str">
        <f>LOWER(Table6[[#This Row],[concatenate]])</f>
        <v>mr.</v>
      </c>
      <c r="F7" t="str">
        <f>UPPER(Table6[[#This Row],[lower]])</f>
        <v>MR.</v>
      </c>
      <c r="G7" t="str">
        <f>PROPER(Table6[[#This Row],[upper]])</f>
        <v>Mr.</v>
      </c>
      <c r="H7">
        <f>LEN(Table6[[#This Row],[first name]])</f>
        <v>0</v>
      </c>
      <c r="I7" t="str">
        <f>LEFT(Table6[[#This Row],[proper]])</f>
        <v>M</v>
      </c>
      <c r="J7" t="str">
        <f>RIGHT(Table6[[#This Row],[proper]])</f>
        <v>.</v>
      </c>
      <c r="K7" t="str">
        <f>MID(Table6[[#This Row],[first name]],1,5)</f>
        <v/>
      </c>
      <c r="M7" t="e">
        <f t="shared" si="0"/>
        <v>#VALUE!</v>
      </c>
      <c r="N7" t="str">
        <f t="shared" si="1"/>
        <v>anagha</v>
      </c>
    </row>
    <row r="8" spans="1:14" x14ac:dyDescent="0.3">
      <c r="A8" t="s">
        <v>63</v>
      </c>
      <c r="D8" t="str">
        <f>CONCATENATE(Table6[[#This Row],[prefix]],Table6[[#This Row],[first name]],Table6[[#This Row],[last name]])</f>
        <v>Mr.</v>
      </c>
      <c r="E8" t="str">
        <f>LOWER(Table6[[#This Row],[concatenate]])</f>
        <v>mr.</v>
      </c>
      <c r="F8" t="str">
        <f>UPPER(Table6[[#This Row],[lower]])</f>
        <v>MR.</v>
      </c>
      <c r="G8" t="str">
        <f>PROPER(Table6[[#This Row],[upper]])</f>
        <v>Mr.</v>
      </c>
      <c r="H8">
        <f>LEN(Table6[[#This Row],[first name]])</f>
        <v>0</v>
      </c>
      <c r="I8" t="str">
        <f>LEFT(Table6[[#This Row],[proper]])</f>
        <v>M</v>
      </c>
      <c r="J8" t="str">
        <f>RIGHT(Table6[[#This Row],[proper]])</f>
        <v>.</v>
      </c>
      <c r="K8" t="str">
        <f>MID(Table6[[#This Row],[first name]],1,5)</f>
        <v/>
      </c>
      <c r="M8" t="e">
        <f>SEARCH("n",#REF!)</f>
        <v>#REF!</v>
      </c>
      <c r="N8" t="str">
        <f>REPLACE(B4,1,3,"anagha")</f>
        <v>anagha</v>
      </c>
    </row>
    <row r="9" spans="1:14" x14ac:dyDescent="0.3">
      <c r="A9" t="s">
        <v>63</v>
      </c>
      <c r="D9" t="str">
        <f>CONCATENATE(Table6[[#This Row],[prefix]],Table6[[#This Row],[first name]],Table6[[#This Row],[last name]])</f>
        <v>Mr.</v>
      </c>
      <c r="E9" t="str">
        <f>LOWER(Table6[[#This Row],[concatenate]])</f>
        <v>mr.</v>
      </c>
      <c r="F9" t="str">
        <f>UPPER(Table6[[#This Row],[lower]])</f>
        <v>MR.</v>
      </c>
      <c r="G9" t="str">
        <f>PROPER(Table6[[#This Row],[upper]])</f>
        <v>Mr.</v>
      </c>
      <c r="H9">
        <f>LEN(Table6[[#This Row],[first name]])</f>
        <v>0</v>
      </c>
      <c r="I9" t="str">
        <f>LEFT(Table6[[#This Row],[proper]])</f>
        <v>M</v>
      </c>
      <c r="J9" t="str">
        <f>RIGHT(Table6[[#This Row],[proper]])</f>
        <v>.</v>
      </c>
      <c r="K9" t="str">
        <f>MID(Table6[[#This Row],[first name]],1,5)</f>
        <v/>
      </c>
      <c r="M9" t="e">
        <f>SEARCH("n",B10)</f>
        <v>#VALUE!</v>
      </c>
      <c r="N9" t="str">
        <f>REPLACE(B10,1,1,"anagha")</f>
        <v>anagha</v>
      </c>
    </row>
    <row r="12" spans="1:14" x14ac:dyDescent="0.3">
      <c r="A12" t="s">
        <v>75</v>
      </c>
      <c r="B12" t="s">
        <v>76</v>
      </c>
      <c r="C12" t="s">
        <v>77</v>
      </c>
      <c r="D12" t="s">
        <v>78</v>
      </c>
      <c r="E12" t="s">
        <v>79</v>
      </c>
      <c r="F12" t="s">
        <v>80</v>
      </c>
      <c r="G12" t="s">
        <v>81</v>
      </c>
      <c r="H12" t="s">
        <v>73</v>
      </c>
      <c r="I12" t="s">
        <v>74</v>
      </c>
      <c r="J12" t="s">
        <v>82</v>
      </c>
      <c r="K12" t="s">
        <v>83</v>
      </c>
      <c r="L12" t="s">
        <v>45</v>
      </c>
    </row>
    <row r="13" spans="1:14" x14ac:dyDescent="0.3">
      <c r="A13" s="1" t="s">
        <v>84</v>
      </c>
      <c r="B13" s="1" t="s">
        <v>88</v>
      </c>
      <c r="C13" s="1" t="s">
        <v>89</v>
      </c>
      <c r="D13" s="1" t="s">
        <v>90</v>
      </c>
      <c r="E13" s="1">
        <v>22</v>
      </c>
      <c r="F13" s="7">
        <v>46090</v>
      </c>
      <c r="G13" s="1" t="s">
        <v>91</v>
      </c>
      <c r="H13" s="9" t="b">
        <f>Table7[[#This Row],[ age]]&gt;18</f>
        <v>1</v>
      </c>
      <c r="I13" s="1" t="str">
        <f>IF(C13="it","Bonus","no_Bonus")</f>
        <v>Bonus</v>
      </c>
      <c r="J13" s="1" t="str">
        <f>IF(AND(C13="it",D13="female"),"Hire","exclude")</f>
        <v>exclude</v>
      </c>
      <c r="K13" s="1" t="str">
        <f t="shared" ref="K13:K17" si="2">IF(OR(C13="female",G13="china"),"include","exclude")</f>
        <v>exclude</v>
      </c>
      <c r="L13" s="1"/>
    </row>
    <row r="14" spans="1:14" x14ac:dyDescent="0.3">
      <c r="A14" s="1" t="s">
        <v>66</v>
      </c>
      <c r="B14" s="1" t="s">
        <v>92</v>
      </c>
      <c r="C14" s="1" t="s">
        <v>89</v>
      </c>
      <c r="D14" s="1" t="s">
        <v>98</v>
      </c>
      <c r="E14" s="1">
        <v>25</v>
      </c>
      <c r="F14" s="7">
        <v>46093</v>
      </c>
      <c r="G14" s="1" t="s">
        <v>101</v>
      </c>
      <c r="H14" s="9" t="b">
        <f>Table7[[#This Row],[ age]]&gt;18</f>
        <v>1</v>
      </c>
      <c r="I14" s="1" t="str">
        <f t="shared" ref="I14:I17" si="3">IF(C14="it","Bonus","no_Bonus")</f>
        <v>Bonus</v>
      </c>
      <c r="J14" s="1" t="str">
        <f>IF(AND(C14="it",G14="female"),"exclude","Hire")</f>
        <v>Hire</v>
      </c>
      <c r="K14" s="1" t="str">
        <f>IF(OR(C14="it",D14="female"),"include","exclude")</f>
        <v>include</v>
      </c>
      <c r="L14" s="1"/>
    </row>
    <row r="15" spans="1:14" x14ac:dyDescent="0.3">
      <c r="A15" s="1" t="s">
        <v>85</v>
      </c>
      <c r="B15" s="1" t="s">
        <v>93</v>
      </c>
      <c r="C15" s="1" t="s">
        <v>96</v>
      </c>
      <c r="D15" s="1" t="s">
        <v>90</v>
      </c>
      <c r="E15" s="1">
        <v>20</v>
      </c>
      <c r="F15" s="7">
        <v>46096</v>
      </c>
      <c r="G15" s="1" t="s">
        <v>99</v>
      </c>
      <c r="H15" s="9" t="b">
        <f>Table7[[#This Row],[ age]]&gt;18</f>
        <v>1</v>
      </c>
      <c r="I15" s="1" t="str">
        <f t="shared" si="3"/>
        <v>no_Bonus</v>
      </c>
      <c r="J15" s="1" t="str">
        <f t="shared" ref="J15:J17" si="4">IF(AND(C15="it",G15="female"),"Hire","exclude")</f>
        <v>exclude</v>
      </c>
      <c r="K15" s="1" t="str">
        <f t="shared" si="2"/>
        <v>exclude</v>
      </c>
      <c r="L15" s="1"/>
    </row>
    <row r="16" spans="1:14" x14ac:dyDescent="0.3">
      <c r="A16" s="1" t="s">
        <v>86</v>
      </c>
      <c r="B16" s="1" t="s">
        <v>94</v>
      </c>
      <c r="C16" s="1" t="s">
        <v>102</v>
      </c>
      <c r="D16" s="1" t="s">
        <v>90</v>
      </c>
      <c r="E16" s="1">
        <v>12</v>
      </c>
      <c r="F16" s="7">
        <v>46099</v>
      </c>
      <c r="G16" s="1" t="s">
        <v>91</v>
      </c>
      <c r="H16" s="10" t="b">
        <f>Table7[[#This Row],[ age]]&gt;18</f>
        <v>0</v>
      </c>
      <c r="I16" s="1" t="str">
        <f t="shared" si="3"/>
        <v>no_Bonus</v>
      </c>
      <c r="J16" s="1" t="str">
        <f t="shared" si="4"/>
        <v>exclude</v>
      </c>
      <c r="K16" s="1" t="str">
        <f t="shared" si="2"/>
        <v>exclude</v>
      </c>
      <c r="L16" s="1"/>
    </row>
    <row r="17" spans="1:12" x14ac:dyDescent="0.3">
      <c r="A17" s="1" t="s">
        <v>87</v>
      </c>
      <c r="B17" s="1" t="s">
        <v>95</v>
      </c>
      <c r="C17" s="1" t="s">
        <v>97</v>
      </c>
      <c r="D17" s="1" t="s">
        <v>98</v>
      </c>
      <c r="E17" s="1">
        <v>18</v>
      </c>
      <c r="F17" s="7">
        <v>46102</v>
      </c>
      <c r="G17" s="1" t="s">
        <v>100</v>
      </c>
      <c r="H17" s="10" t="b">
        <f>Table7[[#This Row],[ age]]&gt;18</f>
        <v>0</v>
      </c>
      <c r="I17" s="1" t="str">
        <f t="shared" si="3"/>
        <v>no_Bonus</v>
      </c>
      <c r="J17" s="1" t="str">
        <f t="shared" si="4"/>
        <v>exclude</v>
      </c>
      <c r="K17" s="1" t="str">
        <f t="shared" si="2"/>
        <v>include</v>
      </c>
      <c r="L17" s="1"/>
    </row>
  </sheetData>
  <phoneticPr fontId="3" type="noConversion"/>
  <pageMargins left="0.7" right="0.7" top="0.75" bottom="0.75" header="0.3" footer="0.3"/>
  <ignoredErrors>
    <ignoredError sqref="K2 K3:K4" calculatedColumn="1"/>
  </ignoredErrors>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5997-F85E-48D9-BD74-E96298AA56AE}">
  <sheetPr codeName="Sheet5"/>
  <dimension ref="A1:I26"/>
  <sheetViews>
    <sheetView workbookViewId="0">
      <selection activeCell="D15" sqref="D15"/>
    </sheetView>
  </sheetViews>
  <sheetFormatPr defaultRowHeight="14.4" x14ac:dyDescent="0.3"/>
  <cols>
    <col min="1" max="1" width="12.33203125" bestFit="1" customWidth="1"/>
    <col min="4" max="4" width="13" bestFit="1" customWidth="1"/>
    <col min="6" max="6" width="10.77734375" bestFit="1" customWidth="1"/>
    <col min="7" max="7" width="16.6640625" bestFit="1" customWidth="1"/>
    <col min="8" max="8" width="13.88671875" bestFit="1" customWidth="1"/>
    <col min="9" max="9" width="20.77734375" bestFit="1" customWidth="1"/>
  </cols>
  <sheetData>
    <row r="1" spans="1:9" ht="15.6" x14ac:dyDescent="0.3">
      <c r="A1" s="3" t="s">
        <v>1</v>
      </c>
      <c r="B1" s="3" t="s">
        <v>2</v>
      </c>
      <c r="C1" s="3" t="s">
        <v>3</v>
      </c>
      <c r="D1" s="3" t="s">
        <v>115</v>
      </c>
      <c r="E1" s="3" t="s">
        <v>4</v>
      </c>
      <c r="F1" s="3" t="s">
        <v>121</v>
      </c>
      <c r="G1" s="3" t="s">
        <v>122</v>
      </c>
      <c r="H1" s="3" t="s">
        <v>124</v>
      </c>
      <c r="I1" s="3" t="s">
        <v>125</v>
      </c>
    </row>
    <row r="2" spans="1:9" x14ac:dyDescent="0.3">
      <c r="A2" s="21">
        <v>44970</v>
      </c>
      <c r="B2" s="1" t="s">
        <v>13</v>
      </c>
      <c r="C2" s="1" t="s">
        <v>14</v>
      </c>
      <c r="D2" s="1">
        <v>800</v>
      </c>
      <c r="E2" s="10" t="s">
        <v>15</v>
      </c>
      <c r="F2" s="7">
        <v>44939</v>
      </c>
      <c r="G2" s="1" t="s">
        <v>123</v>
      </c>
      <c r="H2" s="1">
        <v>20</v>
      </c>
      <c r="I2" s="1" t="s">
        <v>15</v>
      </c>
    </row>
    <row r="3" spans="1:9" x14ac:dyDescent="0.3">
      <c r="A3" s="21">
        <v>44971</v>
      </c>
      <c r="B3" s="1" t="s">
        <v>13</v>
      </c>
      <c r="C3" s="1" t="s">
        <v>14</v>
      </c>
      <c r="D3" s="1">
        <v>1000</v>
      </c>
      <c r="E3" s="10" t="s">
        <v>15</v>
      </c>
      <c r="F3" s="7">
        <v>44939</v>
      </c>
      <c r="G3" s="1" t="s">
        <v>126</v>
      </c>
      <c r="H3" s="1">
        <v>40</v>
      </c>
      <c r="I3" s="1" t="s">
        <v>9</v>
      </c>
    </row>
    <row r="4" spans="1:9" x14ac:dyDescent="0.3">
      <c r="A4" s="21">
        <v>44972</v>
      </c>
      <c r="B4" s="1" t="s">
        <v>13</v>
      </c>
      <c r="C4" s="1" t="s">
        <v>14</v>
      </c>
      <c r="D4" s="1">
        <v>1200</v>
      </c>
      <c r="E4" s="10" t="s">
        <v>15</v>
      </c>
      <c r="F4" s="7">
        <v>44927</v>
      </c>
      <c r="G4" s="1" t="s">
        <v>127</v>
      </c>
      <c r="H4" s="1">
        <v>60</v>
      </c>
      <c r="I4" s="1" t="s">
        <v>38</v>
      </c>
    </row>
    <row r="5" spans="1:9" x14ac:dyDescent="0.3">
      <c r="A5" s="21">
        <v>44973</v>
      </c>
      <c r="B5" s="1" t="s">
        <v>13</v>
      </c>
      <c r="C5" s="1" t="s">
        <v>7</v>
      </c>
      <c r="D5" s="1">
        <v>1400</v>
      </c>
      <c r="E5" s="10" t="s">
        <v>15</v>
      </c>
      <c r="F5" s="7">
        <v>44939</v>
      </c>
      <c r="G5" s="1" t="s">
        <v>128</v>
      </c>
      <c r="H5" s="1">
        <v>80</v>
      </c>
      <c r="I5" s="1" t="s">
        <v>39</v>
      </c>
    </row>
    <row r="6" spans="1:9" x14ac:dyDescent="0.3">
      <c r="A6" s="21">
        <v>44974</v>
      </c>
      <c r="B6" s="1" t="s">
        <v>13</v>
      </c>
      <c r="C6" s="1" t="s">
        <v>7</v>
      </c>
      <c r="D6" s="1">
        <v>1600</v>
      </c>
      <c r="E6" s="10" t="s">
        <v>15</v>
      </c>
      <c r="F6" s="7">
        <v>44939</v>
      </c>
      <c r="G6" s="1" t="s">
        <v>129</v>
      </c>
      <c r="H6" s="1">
        <v>100</v>
      </c>
      <c r="I6" s="1" t="s">
        <v>15</v>
      </c>
    </row>
    <row r="7" spans="1:9" x14ac:dyDescent="0.3">
      <c r="A7" s="21">
        <v>44975</v>
      </c>
      <c r="B7" s="1" t="s">
        <v>13</v>
      </c>
      <c r="C7" s="1" t="s">
        <v>14</v>
      </c>
      <c r="D7" s="5">
        <v>400</v>
      </c>
      <c r="E7" s="10" t="s">
        <v>15</v>
      </c>
      <c r="F7" s="7">
        <v>44939</v>
      </c>
      <c r="G7" s="1" t="s">
        <v>130</v>
      </c>
      <c r="H7" s="1">
        <v>120</v>
      </c>
      <c r="I7" s="1" t="s">
        <v>9</v>
      </c>
    </row>
    <row r="8" spans="1:9" x14ac:dyDescent="0.3">
      <c r="A8" s="21">
        <v>44976</v>
      </c>
      <c r="B8" s="1" t="s">
        <v>13</v>
      </c>
      <c r="C8" s="1" t="s">
        <v>14</v>
      </c>
      <c r="D8" s="1">
        <v>600</v>
      </c>
      <c r="E8" s="10" t="s">
        <v>15</v>
      </c>
      <c r="F8" s="7">
        <v>44927</v>
      </c>
      <c r="G8" s="1" t="s">
        <v>131</v>
      </c>
      <c r="H8" s="1">
        <v>140</v>
      </c>
      <c r="I8" s="1" t="s">
        <v>38</v>
      </c>
    </row>
    <row r="9" spans="1:9" x14ac:dyDescent="0.3">
      <c r="A9" s="21">
        <v>44977</v>
      </c>
      <c r="B9" s="1" t="s">
        <v>13</v>
      </c>
      <c r="C9" s="1" t="s">
        <v>14</v>
      </c>
      <c r="D9" s="1">
        <v>20</v>
      </c>
      <c r="E9" s="11" t="s">
        <v>39</v>
      </c>
      <c r="F9" s="7">
        <v>44939</v>
      </c>
      <c r="G9" s="1" t="s">
        <v>123</v>
      </c>
      <c r="H9" s="1">
        <v>160</v>
      </c>
      <c r="I9" s="1" t="s">
        <v>39</v>
      </c>
    </row>
    <row r="10" spans="1:9" x14ac:dyDescent="0.3">
      <c r="A10" s="21">
        <v>44978</v>
      </c>
      <c r="B10" s="1" t="s">
        <v>6</v>
      </c>
      <c r="C10" s="1" t="s">
        <v>7</v>
      </c>
      <c r="D10" s="1">
        <v>50</v>
      </c>
      <c r="E10" s="11" t="s">
        <v>38</v>
      </c>
      <c r="F10" s="7">
        <v>44939</v>
      </c>
      <c r="G10" s="1" t="s">
        <v>126</v>
      </c>
      <c r="H10" s="1">
        <v>180</v>
      </c>
      <c r="I10" s="1" t="s">
        <v>15</v>
      </c>
    </row>
    <row r="11" spans="1:9" x14ac:dyDescent="0.3">
      <c r="A11" s="21">
        <v>44979</v>
      </c>
      <c r="B11" s="1" t="s">
        <v>6</v>
      </c>
      <c r="C11" s="1" t="s">
        <v>7</v>
      </c>
      <c r="D11" s="1">
        <v>900</v>
      </c>
      <c r="E11" s="9" t="s">
        <v>9</v>
      </c>
      <c r="F11" s="7">
        <v>44939</v>
      </c>
      <c r="G11" s="1" t="s">
        <v>127</v>
      </c>
      <c r="H11" s="1">
        <v>200</v>
      </c>
      <c r="I11" s="1" t="s">
        <v>9</v>
      </c>
    </row>
    <row r="12" spans="1:9" x14ac:dyDescent="0.3">
      <c r="A12" s="21">
        <v>44980</v>
      </c>
      <c r="B12" s="1" t="s">
        <v>6</v>
      </c>
      <c r="C12" s="1" t="s">
        <v>7</v>
      </c>
      <c r="D12" s="1">
        <v>288.66666666666703</v>
      </c>
      <c r="E12" s="9" t="s">
        <v>9</v>
      </c>
      <c r="F12" s="7">
        <v>44927</v>
      </c>
      <c r="G12" s="1" t="s">
        <v>128</v>
      </c>
      <c r="H12" s="1">
        <v>220</v>
      </c>
      <c r="I12" s="1" t="s">
        <v>38</v>
      </c>
    </row>
    <row r="13" spans="1:9" x14ac:dyDescent="0.3">
      <c r="A13" s="21">
        <v>44981</v>
      </c>
      <c r="B13" s="1" t="s">
        <v>13</v>
      </c>
      <c r="C13" s="1" t="s">
        <v>14</v>
      </c>
      <c r="D13" s="1">
        <v>196.24242424242101</v>
      </c>
      <c r="E13" s="9" t="s">
        <v>9</v>
      </c>
      <c r="F13" s="7">
        <v>44939</v>
      </c>
      <c r="G13" s="1" t="s">
        <v>129</v>
      </c>
      <c r="H13" s="1">
        <v>240</v>
      </c>
      <c r="I13" s="1" t="s">
        <v>39</v>
      </c>
    </row>
    <row r="14" spans="1:9" x14ac:dyDescent="0.3">
      <c r="A14" s="21">
        <v>44982</v>
      </c>
      <c r="B14" s="1" t="s">
        <v>6</v>
      </c>
      <c r="C14" s="1" t="s">
        <v>7</v>
      </c>
      <c r="D14" s="1">
        <v>103.818181818182</v>
      </c>
      <c r="E14" s="9" t="s">
        <v>9</v>
      </c>
      <c r="F14" s="7">
        <v>44939</v>
      </c>
      <c r="G14" s="1" t="s">
        <v>130</v>
      </c>
      <c r="H14" s="1">
        <v>260</v>
      </c>
      <c r="I14" s="1" t="s">
        <v>15</v>
      </c>
    </row>
    <row r="15" spans="1:9" x14ac:dyDescent="0.3">
      <c r="A15" s="21">
        <v>44983</v>
      </c>
      <c r="B15" s="1" t="s">
        <v>6</v>
      </c>
      <c r="C15" s="1" t="s">
        <v>7</v>
      </c>
      <c r="D15" s="1">
        <v>284.43636363636199</v>
      </c>
      <c r="E15" s="9" t="s">
        <v>9</v>
      </c>
      <c r="F15" s="7">
        <v>44939</v>
      </c>
      <c r="G15" s="1" t="s">
        <v>131</v>
      </c>
      <c r="H15" s="1">
        <v>280</v>
      </c>
      <c r="I15" s="1" t="s">
        <v>9</v>
      </c>
    </row>
    <row r="16" spans="1:9" x14ac:dyDescent="0.3">
      <c r="A16" s="21">
        <v>44984</v>
      </c>
      <c r="B16" s="1" t="s">
        <v>6</v>
      </c>
      <c r="C16" s="1" t="s">
        <v>7</v>
      </c>
      <c r="D16" s="4">
        <v>300</v>
      </c>
      <c r="E16" s="9" t="s">
        <v>9</v>
      </c>
      <c r="F16" s="7">
        <v>44927</v>
      </c>
      <c r="G16" s="1" t="s">
        <v>123</v>
      </c>
      <c r="H16" s="1">
        <v>300</v>
      </c>
      <c r="I16" s="1" t="s">
        <v>38</v>
      </c>
    </row>
    <row r="17" spans="1:9" x14ac:dyDescent="0.3">
      <c r="A17" s="21">
        <v>44985</v>
      </c>
      <c r="B17" s="1" t="s">
        <v>6</v>
      </c>
      <c r="C17" s="1" t="s">
        <v>14</v>
      </c>
      <c r="D17" s="1">
        <v>1300</v>
      </c>
      <c r="E17" s="9" t="s">
        <v>9</v>
      </c>
      <c r="F17" s="7">
        <v>44939</v>
      </c>
      <c r="G17" s="1" t="s">
        <v>126</v>
      </c>
      <c r="H17" s="1">
        <v>320</v>
      </c>
      <c r="I17" s="1" t="s">
        <v>39</v>
      </c>
    </row>
    <row r="18" spans="1:9" x14ac:dyDescent="0.3">
      <c r="A18" s="21">
        <v>44986</v>
      </c>
      <c r="B18" s="1" t="s">
        <v>6</v>
      </c>
      <c r="C18" s="1" t="s">
        <v>14</v>
      </c>
      <c r="D18" s="1">
        <v>1034.4524312896399</v>
      </c>
      <c r="E18" s="9" t="s">
        <v>9</v>
      </c>
      <c r="F18" s="7">
        <v>44939</v>
      </c>
      <c r="G18" s="1" t="s">
        <v>127</v>
      </c>
      <c r="H18" s="1">
        <v>340</v>
      </c>
      <c r="I18" s="1" t="s">
        <v>15</v>
      </c>
    </row>
    <row r="19" spans="1:9" x14ac:dyDescent="0.3">
      <c r="A19" s="21">
        <v>44987</v>
      </c>
      <c r="B19" s="1" t="s">
        <v>6</v>
      </c>
      <c r="C19" s="1" t="s">
        <v>7</v>
      </c>
      <c r="D19" s="1">
        <v>1200.2043692741299</v>
      </c>
      <c r="E19" s="9" t="s">
        <v>9</v>
      </c>
      <c r="F19" s="7">
        <v>44939</v>
      </c>
      <c r="G19" s="1" t="s">
        <v>128</v>
      </c>
      <c r="H19" s="1">
        <v>360</v>
      </c>
      <c r="I19" s="1" t="s">
        <v>9</v>
      </c>
    </row>
    <row r="20" spans="1:9" x14ac:dyDescent="0.3">
      <c r="A20" s="21">
        <v>44988</v>
      </c>
      <c r="B20" s="1" t="s">
        <v>6</v>
      </c>
      <c r="C20" s="1" t="s">
        <v>14</v>
      </c>
      <c r="D20" s="1">
        <v>1365.95630725863</v>
      </c>
      <c r="E20" s="9" t="s">
        <v>9</v>
      </c>
      <c r="F20" s="7">
        <v>44927</v>
      </c>
      <c r="G20" s="1" t="s">
        <v>129</v>
      </c>
      <c r="H20" s="1">
        <v>380</v>
      </c>
      <c r="I20" s="1" t="s">
        <v>38</v>
      </c>
    </row>
    <row r="21" spans="1:9" x14ac:dyDescent="0.3">
      <c r="A21" s="21">
        <v>44989</v>
      </c>
      <c r="B21" s="1" t="s">
        <v>6</v>
      </c>
      <c r="C21" s="1" t="s">
        <v>7</v>
      </c>
      <c r="D21" s="1">
        <v>1531.70824524313</v>
      </c>
      <c r="E21" s="9" t="s">
        <v>9</v>
      </c>
      <c r="F21" s="7">
        <v>44939</v>
      </c>
      <c r="G21" s="1" t="s">
        <v>130</v>
      </c>
      <c r="H21" s="1">
        <v>400</v>
      </c>
      <c r="I21" s="1" t="s">
        <v>39</v>
      </c>
    </row>
    <row r="22" spans="1:9" x14ac:dyDescent="0.3">
      <c r="A22" s="21">
        <v>44990</v>
      </c>
      <c r="B22" s="1" t="s">
        <v>13</v>
      </c>
      <c r="C22" s="1" t="s">
        <v>14</v>
      </c>
      <c r="D22" s="1">
        <v>1697.4601832276201</v>
      </c>
      <c r="E22" s="9" t="s">
        <v>9</v>
      </c>
      <c r="F22" s="7">
        <v>44939</v>
      </c>
      <c r="G22" s="1" t="s">
        <v>131</v>
      </c>
      <c r="H22" s="1">
        <v>420</v>
      </c>
      <c r="I22" s="1" t="s">
        <v>15</v>
      </c>
    </row>
    <row r="23" spans="1:9" x14ac:dyDescent="0.3">
      <c r="A23" s="21">
        <v>44991</v>
      </c>
      <c r="B23" s="1" t="s">
        <v>6</v>
      </c>
      <c r="C23" s="1" t="s">
        <v>7</v>
      </c>
      <c r="D23" s="4">
        <v>1863.2121212121201</v>
      </c>
      <c r="E23" s="9" t="s">
        <v>9</v>
      </c>
      <c r="F23" s="7">
        <v>44939</v>
      </c>
      <c r="G23" s="1" t="s">
        <v>123</v>
      </c>
      <c r="H23" s="1">
        <v>440</v>
      </c>
      <c r="I23" s="1" t="s">
        <v>9</v>
      </c>
    </row>
    <row r="24" spans="1:9" x14ac:dyDescent="0.3">
      <c r="A24" s="21">
        <v>44992</v>
      </c>
      <c r="B24" s="1" t="s">
        <v>6</v>
      </c>
      <c r="C24" s="1" t="s">
        <v>7</v>
      </c>
      <c r="D24" s="1">
        <v>2028.9640591966099</v>
      </c>
      <c r="E24" s="9" t="s">
        <v>9</v>
      </c>
      <c r="F24" s="7">
        <v>44927</v>
      </c>
      <c r="G24" s="1" t="s">
        <v>126</v>
      </c>
      <c r="H24" s="1">
        <v>460</v>
      </c>
      <c r="I24" s="1" t="s">
        <v>38</v>
      </c>
    </row>
    <row r="25" spans="1:9" x14ac:dyDescent="0.3">
      <c r="A25" s="21">
        <v>44993</v>
      </c>
      <c r="B25" s="1" t="s">
        <v>13</v>
      </c>
      <c r="C25" s="1" t="s">
        <v>14</v>
      </c>
      <c r="D25" s="1">
        <v>2194.7159971811102</v>
      </c>
      <c r="E25" s="9" t="s">
        <v>9</v>
      </c>
      <c r="F25" s="7">
        <v>44939</v>
      </c>
      <c r="G25" s="1" t="s">
        <v>127</v>
      </c>
      <c r="H25" s="1">
        <v>480</v>
      </c>
      <c r="I25" s="1" t="s">
        <v>39</v>
      </c>
    </row>
    <row r="26" spans="1:9" x14ac:dyDescent="0.3">
      <c r="A26" s="21">
        <v>44994</v>
      </c>
      <c r="B26" s="1" t="s">
        <v>6</v>
      </c>
      <c r="C26" s="1" t="s">
        <v>7</v>
      </c>
      <c r="D26" s="1">
        <v>2360.46793516561</v>
      </c>
      <c r="E26" s="9" t="s">
        <v>9</v>
      </c>
      <c r="F26" s="7">
        <v>44939</v>
      </c>
      <c r="G26" s="1" t="s">
        <v>128</v>
      </c>
      <c r="H26" s="1">
        <v>500</v>
      </c>
      <c r="I26" s="1" t="s">
        <v>15</v>
      </c>
    </row>
  </sheetData>
  <dataValidations count="4">
    <dataValidation type="date" allowBlank="1" showInputMessage="1" showErrorMessage="1" sqref="F2:F26" xr:uid="{6FBDD0D5-1CE6-4971-88D7-9491B8F89CF7}">
      <formula1>44927</formula1>
      <formula2>45290</formula2>
    </dataValidation>
    <dataValidation type="textLength" allowBlank="1" showInputMessage="1" showErrorMessage="1" sqref="G2 G9 G16 G23" xr:uid="{672A2BD4-4BD3-4A58-B53F-AD1C5308B02F}">
      <formula1>2</formula1>
      <formula2>20</formula2>
    </dataValidation>
    <dataValidation type="whole" allowBlank="1" showInputMessage="1" showErrorMessage="1" sqref="H2:H26" xr:uid="{413D9E75-8BCB-43FE-8F69-594E780BD41A}">
      <formula1>10</formula1>
      <formula2>50000</formula2>
    </dataValidation>
    <dataValidation type="list" allowBlank="1" showInputMessage="1" showErrorMessage="1" sqref="I1:I1048576" xr:uid="{C404A434-6C4A-4F7B-8B75-6F0EEF92ABD6}">
      <formula1>"cash,error,fail,UPI"</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F86E-5C5D-4228-B5AE-C0AFE72EDD92}">
  <sheetPr codeName="Sheet3"/>
  <dimension ref="A1:L4"/>
  <sheetViews>
    <sheetView workbookViewId="0">
      <selection activeCell="D14" sqref="D14"/>
    </sheetView>
  </sheetViews>
  <sheetFormatPr defaultRowHeight="14.4" x14ac:dyDescent="0.3"/>
  <cols>
    <col min="1" max="1" width="10.33203125" bestFit="1" customWidth="1"/>
    <col min="2" max="2" width="15.44140625" bestFit="1" customWidth="1"/>
    <col min="4" max="4" width="15.44140625" bestFit="1" customWidth="1"/>
    <col min="6" max="6" width="10.33203125" bestFit="1" customWidth="1"/>
    <col min="10" max="10" width="12.5546875" customWidth="1"/>
    <col min="11" max="11" width="15.109375" customWidth="1"/>
    <col min="12" max="12" width="13.109375" customWidth="1"/>
  </cols>
  <sheetData>
    <row r="1" spans="1:12" x14ac:dyDescent="0.3">
      <c r="A1" t="s">
        <v>103</v>
      </c>
      <c r="B1" t="s">
        <v>104</v>
      </c>
      <c r="C1" t="s">
        <v>105</v>
      </c>
      <c r="D1" t="s">
        <v>106</v>
      </c>
      <c r="E1" t="s">
        <v>107</v>
      </c>
      <c r="F1" t="s">
        <v>108</v>
      </c>
      <c r="G1" t="s">
        <v>109</v>
      </c>
      <c r="H1" t="s">
        <v>110</v>
      </c>
      <c r="I1" t="s">
        <v>111</v>
      </c>
      <c r="J1" t="s">
        <v>112</v>
      </c>
      <c r="K1" t="s">
        <v>113</v>
      </c>
      <c r="L1" t="s">
        <v>114</v>
      </c>
    </row>
    <row r="2" spans="1:12" x14ac:dyDescent="0.3">
      <c r="A2" s="12">
        <v>44970</v>
      </c>
      <c r="B2" s="14">
        <f ca="1">NOW()</f>
        <v>46292.521489236111</v>
      </c>
      <c r="C2">
        <f ca="1">DAY(B2)</f>
        <v>27</v>
      </c>
      <c r="D2" s="14">
        <f ca="1">MONTH(B2)</f>
        <v>9</v>
      </c>
      <c r="E2">
        <f ca="1">YEAR(B2)</f>
        <v>2026</v>
      </c>
      <c r="F2" s="12">
        <f ca="1">DATE(Table9[[#This Row],[year]],Table9[[#This Row],[month]],Table9[[#This Row],[day]])</f>
        <v>46292</v>
      </c>
      <c r="G2">
        <f ca="1">HOUR(Table9[[#This Row],[now]])</f>
        <v>12</v>
      </c>
      <c r="H2">
        <f ca="1">MIN(Table9[[#This Row],[now]])</f>
        <v>46292.521489236111</v>
      </c>
      <c r="I2">
        <f t="shared" ref="I2:I3" ca="1" si="0">SECOND(NOW())</f>
        <v>57</v>
      </c>
      <c r="J2" s="12">
        <f>Table9[[#This Row],[today]]+3</f>
        <v>44973</v>
      </c>
      <c r="K2" s="12">
        <f>EDATE(Table9[[#This Row],[today]],3)</f>
        <v>45059</v>
      </c>
      <c r="L2" s="12">
        <f t="shared" ref="L2:L3" si="1">EDATE(A2,(12*3))</f>
        <v>46066</v>
      </c>
    </row>
    <row r="3" spans="1:12" x14ac:dyDescent="0.3">
      <c r="A3" s="12">
        <v>44971</v>
      </c>
      <c r="B3" s="14">
        <f ca="1">NOW()</f>
        <v>46292.521489236111</v>
      </c>
      <c r="C3">
        <v>25</v>
      </c>
      <c r="D3" s="14">
        <v>11</v>
      </c>
      <c r="E3">
        <v>2003</v>
      </c>
      <c r="F3" s="12">
        <f>DATE(Table9[[#This Row],[year]],Table9[[#This Row],[month]],Table9[[#This Row],[day]])</f>
        <v>37950</v>
      </c>
      <c r="G3">
        <f ca="1">HOUR(Table9[[#This Row],[now]])</f>
        <v>12</v>
      </c>
      <c r="H3">
        <f ca="1">MIN(Table9[[#This Row],[now]])</f>
        <v>46292.521489236111</v>
      </c>
      <c r="I3">
        <f t="shared" ca="1" si="0"/>
        <v>57</v>
      </c>
      <c r="J3" s="12">
        <f>Table9[[#This Row],[today]]+3</f>
        <v>44974</v>
      </c>
      <c r="K3" s="12">
        <f>EDATE(Table9[[#This Row],[today]],3)</f>
        <v>45060</v>
      </c>
      <c r="L3" s="12">
        <f t="shared" si="1"/>
        <v>46067</v>
      </c>
    </row>
    <row r="4" spans="1:12" x14ac:dyDescent="0.3">
      <c r="B4" s="1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BC81-8A9D-40EA-B528-1B7C8EB8ACE8}">
  <sheetPr codeName="Sheet4"/>
  <dimension ref="A1:O36"/>
  <sheetViews>
    <sheetView tabSelected="1" workbookViewId="0">
      <selection activeCell="O10" sqref="O10"/>
    </sheetView>
  </sheetViews>
  <sheetFormatPr defaultRowHeight="14.4" x14ac:dyDescent="0.3"/>
  <cols>
    <col min="1" max="1" width="12.33203125" style="1" bestFit="1" customWidth="1"/>
    <col min="2" max="2" width="13.6640625" style="1" bestFit="1" customWidth="1"/>
    <col min="3" max="3" width="17.33203125" style="1" bestFit="1" customWidth="1"/>
    <col min="4" max="4" width="10" style="1" bestFit="1" customWidth="1"/>
    <col min="5" max="5" width="19.6640625" style="1" bestFit="1" customWidth="1"/>
    <col min="6" max="6" width="8.88671875" style="1"/>
    <col min="7" max="7" width="18" style="1" bestFit="1" customWidth="1"/>
    <col min="8" max="16384" width="8.88671875" style="1"/>
  </cols>
  <sheetData>
    <row r="1" spans="1:15" ht="15.6" x14ac:dyDescent="0.3">
      <c r="A1" s="3" t="s">
        <v>1</v>
      </c>
      <c r="B1" s="3" t="s">
        <v>2</v>
      </c>
      <c r="C1" s="3" t="s">
        <v>3</v>
      </c>
      <c r="D1" s="3" t="s">
        <v>115</v>
      </c>
      <c r="E1" s="3" t="s">
        <v>4</v>
      </c>
      <c r="G1" s="1" t="s">
        <v>42</v>
      </c>
      <c r="H1" s="1" t="s">
        <v>116</v>
      </c>
      <c r="I1" s="1" t="s">
        <v>117</v>
      </c>
      <c r="J1" s="1" t="s">
        <v>118</v>
      </c>
      <c r="K1" s="1" t="s">
        <v>119</v>
      </c>
      <c r="L1" s="1" t="s">
        <v>120</v>
      </c>
    </row>
    <row r="2" spans="1:15" x14ac:dyDescent="0.3">
      <c r="A2" s="21">
        <v>44970</v>
      </c>
      <c r="B2" s="1" t="s">
        <v>13</v>
      </c>
      <c r="C2" s="1" t="s">
        <v>14</v>
      </c>
      <c r="D2" s="1">
        <v>800</v>
      </c>
      <c r="E2" s="10" t="s">
        <v>15</v>
      </c>
      <c r="G2" s="1">
        <f>SUM(Table211[Amount])</f>
        <v>16213</v>
      </c>
      <c r="H2" s="1">
        <f>SUMIF(Table211[Payment mode],"UPI",Table211[Amount])</f>
        <v>9143</v>
      </c>
      <c r="I2" s="1">
        <f>SUMIFS(Table211[Amount],Table211[Payment mode],"UPI",Table211[Category],"Food")</f>
        <v>8529</v>
      </c>
      <c r="J2" s="1">
        <f>COUNT(Table211[Amount])</f>
        <v>20</v>
      </c>
      <c r="K2" s="1">
        <f>COUNTIF(Table211[Payment mode],"cash")</f>
        <v>7</v>
      </c>
      <c r="L2" s="1">
        <f>COUNTIFS(Table211[Payment mode],"fail",Table211[Category],"Food")</f>
        <v>1</v>
      </c>
    </row>
    <row r="3" spans="1:15" x14ac:dyDescent="0.3">
      <c r="A3" s="21">
        <v>44971</v>
      </c>
      <c r="B3" s="1" t="s">
        <v>13</v>
      </c>
      <c r="C3" s="1" t="s">
        <v>330</v>
      </c>
      <c r="D3" s="1">
        <v>1000</v>
      </c>
      <c r="E3" s="10" t="s">
        <v>15</v>
      </c>
      <c r="G3" s="1">
        <f>SUM(Table211[Amount])</f>
        <v>16213</v>
      </c>
      <c r="H3" s="1">
        <f>SUMIF(Table211[Payment mode],"UPI",Table211[Amount])</f>
        <v>9143</v>
      </c>
      <c r="I3" s="1">
        <f>SUMIFS(Table211[Amount],Table211[Payment mode],"UPI",Table211[Category],"Food")</f>
        <v>8529</v>
      </c>
      <c r="J3" s="1">
        <f>COUNT(Table211[Amount])</f>
        <v>20</v>
      </c>
      <c r="K3" s="1">
        <f>COUNTIF(Table211[Payment mode],"cash")</f>
        <v>7</v>
      </c>
      <c r="L3" s="1">
        <f>COUNTIFS(Table211[Payment mode],"fail",Table211[Category],"Food")</f>
        <v>1</v>
      </c>
    </row>
    <row r="4" spans="1:15" x14ac:dyDescent="0.3">
      <c r="A4" s="21">
        <v>44972</v>
      </c>
      <c r="B4" s="1" t="s">
        <v>13</v>
      </c>
      <c r="C4" s="1" t="s">
        <v>331</v>
      </c>
      <c r="D4" s="1">
        <v>1200</v>
      </c>
      <c r="E4" s="10" t="s">
        <v>15</v>
      </c>
    </row>
    <row r="5" spans="1:15" x14ac:dyDescent="0.3">
      <c r="A5" s="21">
        <v>46186</v>
      </c>
      <c r="B5" s="1" t="s">
        <v>13</v>
      </c>
      <c r="C5" s="1" t="s">
        <v>7</v>
      </c>
      <c r="D5" s="1">
        <v>1400</v>
      </c>
      <c r="E5" s="10" t="s">
        <v>15</v>
      </c>
      <c r="G5" s="1" t="s">
        <v>153</v>
      </c>
    </row>
    <row r="6" spans="1:15" x14ac:dyDescent="0.3">
      <c r="A6" s="21">
        <v>44974</v>
      </c>
      <c r="B6" s="1" t="s">
        <v>13</v>
      </c>
      <c r="C6" s="1" t="s">
        <v>7</v>
      </c>
      <c r="D6" s="1">
        <v>1600</v>
      </c>
      <c r="E6" s="10" t="s">
        <v>15</v>
      </c>
    </row>
    <row r="7" spans="1:15" x14ac:dyDescent="0.3">
      <c r="A7" s="21">
        <v>44975</v>
      </c>
      <c r="B7" s="1" t="s">
        <v>13</v>
      </c>
      <c r="C7" s="1" t="s">
        <v>14</v>
      </c>
      <c r="D7" s="5">
        <v>400</v>
      </c>
      <c r="E7" s="10" t="s">
        <v>15</v>
      </c>
    </row>
    <row r="8" spans="1:15" x14ac:dyDescent="0.3">
      <c r="A8" s="21">
        <v>44976</v>
      </c>
      <c r="B8" s="1" t="s">
        <v>13</v>
      </c>
      <c r="C8" s="1" t="s">
        <v>14</v>
      </c>
      <c r="D8" s="1">
        <v>600</v>
      </c>
      <c r="E8" s="10" t="s">
        <v>15</v>
      </c>
    </row>
    <row r="9" spans="1:15" x14ac:dyDescent="0.3">
      <c r="A9" s="21">
        <v>48995</v>
      </c>
      <c r="B9" s="1" t="s">
        <v>13</v>
      </c>
      <c r="C9" s="1" t="s">
        <v>14</v>
      </c>
      <c r="D9" s="1">
        <v>20</v>
      </c>
      <c r="E9" s="1" t="s">
        <v>39</v>
      </c>
      <c r="G9" s="1" t="s">
        <v>269</v>
      </c>
      <c r="L9" s="1" t="s">
        <v>271</v>
      </c>
      <c r="O9" s="1" t="s">
        <v>272</v>
      </c>
    </row>
    <row r="10" spans="1:15" x14ac:dyDescent="0.3">
      <c r="A10" s="21">
        <v>44978</v>
      </c>
      <c r="B10" s="1" t="s">
        <v>6</v>
      </c>
      <c r="C10" s="1" t="s">
        <v>7</v>
      </c>
      <c r="D10" s="1">
        <v>50</v>
      </c>
      <c r="E10" s="11" t="s">
        <v>38</v>
      </c>
      <c r="G10" s="71" t="str">
        <f>VLOOKUP(B3,Table211[[Category]:[Amount]],2,FALSE)</f>
        <v>fruite</v>
      </c>
      <c r="I10" s="1">
        <f>VLOOKUP(C2,Table211[[Sub category]:[Amount]],2,0)</f>
        <v>800</v>
      </c>
      <c r="K10" s="46" t="s">
        <v>14</v>
      </c>
      <c r="L10" s="1">
        <f>_xlfn.XLOOKUP(C2,Table211[Sub category],Table211[Amount])</f>
        <v>800</v>
      </c>
      <c r="M10" s="1">
        <f>_xlfn.XLOOKUP(C2,Table211[Sub category],Table211[Amount])</f>
        <v>800</v>
      </c>
      <c r="N10" s="46" t="s">
        <v>42</v>
      </c>
      <c r="O10" s="1">
        <f>HLOOKUP(G1,G1:L3,2,FALSE)</f>
        <v>16213</v>
      </c>
    </row>
    <row r="11" spans="1:15" x14ac:dyDescent="0.3">
      <c r="A11" s="21">
        <v>37309</v>
      </c>
      <c r="B11" s="1" t="s">
        <v>6</v>
      </c>
      <c r="C11" s="1" t="s">
        <v>7</v>
      </c>
      <c r="D11" s="1">
        <v>900</v>
      </c>
      <c r="E11" s="9" t="s">
        <v>9</v>
      </c>
      <c r="G11" s="71"/>
      <c r="I11" s="1">
        <f>VLOOKUP(C3,Table211[[Sub category]:[Amount]],2,FALSE)</f>
        <v>1000</v>
      </c>
      <c r="K11" s="45" t="s">
        <v>14</v>
      </c>
      <c r="N11" s="45"/>
    </row>
    <row r="12" spans="1:15" x14ac:dyDescent="0.3">
      <c r="A12" s="21">
        <v>44980</v>
      </c>
      <c r="B12" s="1" t="s">
        <v>6</v>
      </c>
      <c r="C12" s="1" t="s">
        <v>7</v>
      </c>
      <c r="D12" s="5">
        <v>529</v>
      </c>
      <c r="E12" s="9" t="s">
        <v>9</v>
      </c>
      <c r="G12" s="71"/>
      <c r="I12" s="1">
        <f>VLOOKUP(C4,Table211[[Sub category]:[Amount]],2,FALSE)</f>
        <v>1200</v>
      </c>
      <c r="K12" s="46" t="s">
        <v>14</v>
      </c>
      <c r="N12" s="46"/>
    </row>
    <row r="13" spans="1:15" x14ac:dyDescent="0.3">
      <c r="A13" s="21">
        <v>44981</v>
      </c>
      <c r="B13" s="1" t="s">
        <v>13</v>
      </c>
      <c r="C13" s="1" t="s">
        <v>14</v>
      </c>
      <c r="D13" s="1">
        <v>574</v>
      </c>
      <c r="E13" s="9" t="s">
        <v>9</v>
      </c>
      <c r="G13" s="71"/>
      <c r="K13" s="45" t="s">
        <v>7</v>
      </c>
      <c r="N13" s="45"/>
    </row>
    <row r="14" spans="1:15" x14ac:dyDescent="0.3">
      <c r="A14" s="21">
        <v>44982</v>
      </c>
      <c r="B14" s="1" t="s">
        <v>6</v>
      </c>
      <c r="C14" s="1" t="s">
        <v>7</v>
      </c>
      <c r="D14" s="1">
        <v>1100</v>
      </c>
      <c r="E14" s="9" t="s">
        <v>9</v>
      </c>
      <c r="G14" s="71"/>
      <c r="K14" s="46" t="s">
        <v>7</v>
      </c>
      <c r="N14" s="46"/>
    </row>
    <row r="15" spans="1:15" x14ac:dyDescent="0.3">
      <c r="A15" s="21">
        <v>44983</v>
      </c>
      <c r="B15" s="1" t="s">
        <v>6</v>
      </c>
      <c r="C15" s="1" t="s">
        <v>7</v>
      </c>
      <c r="E15" s="9" t="s">
        <v>9</v>
      </c>
      <c r="G15" s="71"/>
      <c r="K15" s="45" t="s">
        <v>14</v>
      </c>
      <c r="N15" s="45"/>
    </row>
    <row r="16" spans="1:15" x14ac:dyDescent="0.3">
      <c r="A16" s="21">
        <v>44984</v>
      </c>
      <c r="B16" s="1" t="s">
        <v>6</v>
      </c>
      <c r="C16" s="1" t="s">
        <v>7</v>
      </c>
      <c r="D16" s="4">
        <v>300</v>
      </c>
      <c r="E16" s="9" t="s">
        <v>9</v>
      </c>
      <c r="G16" s="71"/>
      <c r="K16" s="46" t="s">
        <v>14</v>
      </c>
      <c r="N16" s="46"/>
    </row>
    <row r="17" spans="1:14" x14ac:dyDescent="0.3">
      <c r="A17" s="21">
        <v>44985</v>
      </c>
      <c r="B17" s="1" t="s">
        <v>6</v>
      </c>
      <c r="C17" s="1" t="s">
        <v>14</v>
      </c>
      <c r="D17" s="1">
        <v>1300</v>
      </c>
      <c r="E17" s="9" t="s">
        <v>9</v>
      </c>
      <c r="G17" s="71"/>
      <c r="K17" s="45" t="s">
        <v>14</v>
      </c>
      <c r="N17" s="45"/>
    </row>
    <row r="18" spans="1:14" x14ac:dyDescent="0.3">
      <c r="A18" s="21">
        <v>44986</v>
      </c>
      <c r="B18" s="1" t="s">
        <v>6</v>
      </c>
      <c r="C18" s="1" t="s">
        <v>14</v>
      </c>
      <c r="E18" s="9" t="s">
        <v>9</v>
      </c>
      <c r="G18" s="71"/>
      <c r="K18" s="46" t="s">
        <v>7</v>
      </c>
      <c r="N18" s="46"/>
    </row>
    <row r="19" spans="1:14" x14ac:dyDescent="0.3">
      <c r="A19" s="21">
        <v>44987</v>
      </c>
      <c r="B19" s="1" t="s">
        <v>6</v>
      </c>
      <c r="C19" s="1" t="s">
        <v>7</v>
      </c>
      <c r="D19" s="1">
        <v>1500</v>
      </c>
      <c r="E19" s="9" t="s">
        <v>9</v>
      </c>
      <c r="G19" s="71"/>
      <c r="K19" s="45" t="s">
        <v>7</v>
      </c>
      <c r="N19" s="45"/>
    </row>
    <row r="20" spans="1:14" x14ac:dyDescent="0.3">
      <c r="A20" s="21">
        <v>44988</v>
      </c>
      <c r="B20" s="1" t="s">
        <v>6</v>
      </c>
      <c r="C20" s="1" t="s">
        <v>14</v>
      </c>
      <c r="D20" s="1">
        <v>1700</v>
      </c>
      <c r="E20" s="9" t="s">
        <v>9</v>
      </c>
      <c r="G20" s="71"/>
      <c r="K20" s="46" t="s">
        <v>7</v>
      </c>
      <c r="N20" s="46"/>
    </row>
    <row r="21" spans="1:14" x14ac:dyDescent="0.3">
      <c r="A21" s="21">
        <v>44989</v>
      </c>
      <c r="B21" s="1" t="s">
        <v>6</v>
      </c>
      <c r="C21" s="1" t="s">
        <v>7</v>
      </c>
      <c r="E21" s="9" t="s">
        <v>9</v>
      </c>
      <c r="G21" s="71"/>
      <c r="K21" s="45" t="s">
        <v>14</v>
      </c>
      <c r="N21" s="45"/>
    </row>
    <row r="22" spans="1:14" x14ac:dyDescent="0.3">
      <c r="A22" s="21">
        <v>44990</v>
      </c>
      <c r="B22" s="1" t="s">
        <v>13</v>
      </c>
      <c r="C22" s="1" t="s">
        <v>14</v>
      </c>
      <c r="E22" s="9" t="s">
        <v>9</v>
      </c>
      <c r="G22" s="71"/>
      <c r="K22" s="46" t="s">
        <v>7</v>
      </c>
      <c r="N22" s="46"/>
    </row>
    <row r="23" spans="1:14" x14ac:dyDescent="0.3">
      <c r="A23" s="21">
        <v>44991</v>
      </c>
      <c r="B23" s="1" t="s">
        <v>6</v>
      </c>
      <c r="C23" s="1" t="s">
        <v>7</v>
      </c>
      <c r="D23" s="1">
        <v>500</v>
      </c>
      <c r="E23" s="9" t="s">
        <v>9</v>
      </c>
      <c r="G23" s="71"/>
      <c r="K23" s="45" t="s">
        <v>7</v>
      </c>
      <c r="N23" s="45"/>
    </row>
    <row r="24" spans="1:14" x14ac:dyDescent="0.3">
      <c r="A24" s="21">
        <v>44992</v>
      </c>
      <c r="B24" s="1" t="s">
        <v>6</v>
      </c>
      <c r="C24" s="1" t="s">
        <v>7</v>
      </c>
      <c r="E24" s="9" t="s">
        <v>9</v>
      </c>
      <c r="G24" s="71"/>
      <c r="K24" s="46" t="s">
        <v>7</v>
      </c>
      <c r="N24" s="46"/>
    </row>
    <row r="25" spans="1:14" x14ac:dyDescent="0.3">
      <c r="A25" s="21">
        <v>44993</v>
      </c>
      <c r="B25" s="1" t="s">
        <v>13</v>
      </c>
      <c r="C25" s="1" t="s">
        <v>14</v>
      </c>
      <c r="E25" s="9" t="s">
        <v>9</v>
      </c>
      <c r="G25" s="71"/>
      <c r="K25" s="45" t="s">
        <v>14</v>
      </c>
      <c r="N25" s="45"/>
    </row>
    <row r="26" spans="1:14" x14ac:dyDescent="0.3">
      <c r="A26" s="21">
        <v>44994</v>
      </c>
      <c r="B26" s="1" t="s">
        <v>6</v>
      </c>
      <c r="C26" s="1" t="s">
        <v>7</v>
      </c>
      <c r="D26" s="1">
        <v>700</v>
      </c>
      <c r="E26" s="9" t="s">
        <v>9</v>
      </c>
      <c r="G26" s="71"/>
      <c r="K26" s="46" t="s">
        <v>14</v>
      </c>
      <c r="N26" s="46"/>
    </row>
    <row r="27" spans="1:14" x14ac:dyDescent="0.3">
      <c r="A27" s="44"/>
      <c r="C27" s="1" t="s">
        <v>130</v>
      </c>
      <c r="D27" s="1">
        <v>40</v>
      </c>
      <c r="E27" s="1" t="s">
        <v>267</v>
      </c>
      <c r="G27" s="71"/>
      <c r="K27" s="45" t="s">
        <v>7</v>
      </c>
      <c r="N27" s="45"/>
    </row>
    <row r="28" spans="1:14" x14ac:dyDescent="0.3">
      <c r="G28" s="71"/>
      <c r="K28" s="46" t="s">
        <v>14</v>
      </c>
      <c r="N28" s="46"/>
    </row>
    <row r="29" spans="1:14" x14ac:dyDescent="0.3">
      <c r="G29" s="71"/>
      <c r="K29" s="45" t="s">
        <v>7</v>
      </c>
      <c r="N29" s="45"/>
    </row>
    <row r="30" spans="1:14" x14ac:dyDescent="0.3">
      <c r="G30" s="71"/>
      <c r="K30" s="46" t="s">
        <v>14</v>
      </c>
      <c r="N30" s="46"/>
    </row>
    <row r="31" spans="1:14" x14ac:dyDescent="0.3">
      <c r="G31" s="71"/>
      <c r="K31" s="45" t="s">
        <v>7</v>
      </c>
      <c r="N31" s="45"/>
    </row>
    <row r="32" spans="1:14" x14ac:dyDescent="0.3">
      <c r="G32" s="71"/>
      <c r="K32" s="46" t="s">
        <v>7</v>
      </c>
      <c r="N32" s="46"/>
    </row>
    <row r="33" spans="7:14" x14ac:dyDescent="0.3">
      <c r="G33" s="71"/>
      <c r="K33" s="45" t="s">
        <v>14</v>
      </c>
      <c r="N33" s="45"/>
    </row>
    <row r="34" spans="7:14" x14ac:dyDescent="0.3">
      <c r="G34" s="71"/>
      <c r="K34" s="46" t="s">
        <v>7</v>
      </c>
      <c r="N34" s="46"/>
    </row>
    <row r="35" spans="7:14" x14ac:dyDescent="0.3">
      <c r="G35" s="71"/>
      <c r="K35" s="45" t="s">
        <v>130</v>
      </c>
      <c r="N35" s="45"/>
    </row>
    <row r="36" spans="7:14" x14ac:dyDescent="0.3">
      <c r="G36" s="72"/>
    </row>
  </sheetData>
  <conditionalFormatting sqref="A1:A1048576">
    <cfRule type="timePeriod" dxfId="7" priority="4" timePeriod="thisMonth">
      <formula>AND(MONTH(A1)=MONTH(TODAY()),YEAR(A1)=YEAR(TODAY()))</formula>
    </cfRule>
  </conditionalFormatting>
  <conditionalFormatting sqref="A2:A27">
    <cfRule type="timePeriod" dxfId="6" priority="5" timePeriod="thisMonth">
      <formula>AND(MONTH(A2)=MONTH(TODAY()),YEAR(A2)=YEAR(TODAY()))</formula>
    </cfRule>
    <cfRule type="containsText" dxfId="5" priority="6" operator="containsText" text="Food">
      <formula>NOT(ISERROR(SEARCH("Food",A2)))</formula>
    </cfRule>
  </conditionalFormatting>
  <conditionalFormatting sqref="A3">
    <cfRule type="timePeriod" dxfId="4" priority="7" timePeriod="yesterday">
      <formula>FLOOR(A3,1)=TODAY()-1</formula>
    </cfRule>
  </conditionalFormatting>
  <conditionalFormatting sqref="D2:D27">
    <cfRule type="cellIs" dxfId="3" priority="1" operator="between">
      <formula>0</formula>
      <formula>1280</formula>
    </cfRule>
    <cfRule type="cellIs" dxfId="2" priority="2" operator="between">
      <formula>499</formula>
      <formula>1000</formula>
    </cfRule>
  </conditionalFormatting>
  <conditionalFormatting sqref="E2:E27">
    <cfRule type="containsText" dxfId="1" priority="3" operator="containsText" text="error">
      <formula>NOT(ISERROR(SEARCH("error",E2)))</formula>
    </cfRule>
  </conditionalFormatting>
  <conditionalFormatting sqref="G7">
    <cfRule type="timePeriod" dxfId="0" priority="9" timePeriod="yesterday">
      <formula>FLOOR(G7,1)=TODAY()-1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85A0-C525-4984-B769-CB6D48D6F095}">
  <sheetPr codeName="Sheet6"/>
  <dimension ref="A1:T22"/>
  <sheetViews>
    <sheetView zoomScale="95" zoomScaleNormal="100" workbookViewId="0">
      <selection activeCell="K19" sqref="K19"/>
    </sheetView>
  </sheetViews>
  <sheetFormatPr defaultRowHeight="14.4" x14ac:dyDescent="0.3"/>
  <cols>
    <col min="2" max="2" width="10.77734375" customWidth="1"/>
    <col min="3" max="3" width="16.109375" bestFit="1" customWidth="1"/>
    <col min="4" max="4" width="14.21875" customWidth="1"/>
    <col min="7" max="7" width="13" bestFit="1" customWidth="1"/>
    <col min="8" max="8" width="16.109375" bestFit="1" customWidth="1"/>
    <col min="13" max="13" width="12" bestFit="1" customWidth="1"/>
    <col min="16" max="16" width="9.88671875" customWidth="1"/>
  </cols>
  <sheetData>
    <row r="1" spans="1:20" x14ac:dyDescent="0.3">
      <c r="A1" t="s">
        <v>132</v>
      </c>
      <c r="B1" s="17" t="s">
        <v>75</v>
      </c>
      <c r="C1" s="18" t="s">
        <v>76</v>
      </c>
      <c r="D1" t="s">
        <v>136</v>
      </c>
      <c r="E1" t="s">
        <v>147</v>
      </c>
    </row>
    <row r="2" spans="1:20" x14ac:dyDescent="0.3">
      <c r="B2" s="16" t="s">
        <v>144</v>
      </c>
      <c r="C2" s="20" t="s">
        <v>92</v>
      </c>
      <c r="D2" s="22">
        <v>-56110.5</v>
      </c>
      <c r="E2" t="e">
        <f>LOOKUP(Table8[[#This Row],[Annual salary]],Table11[])</f>
        <v>#N/A</v>
      </c>
    </row>
    <row r="3" spans="1:20" ht="15" customHeight="1" thickBot="1" x14ac:dyDescent="0.35">
      <c r="B3" s="16" t="s">
        <v>143</v>
      </c>
      <c r="C3" s="19" t="s">
        <v>88</v>
      </c>
      <c r="D3" s="22">
        <v>-35674</v>
      </c>
      <c r="E3" t="e">
        <f>LOOKUP(Table8[[#This Row],[Annual salary]],Table11[])</f>
        <v>#N/A</v>
      </c>
      <c r="G3" t="s">
        <v>137</v>
      </c>
      <c r="H3" t="s">
        <v>138</v>
      </c>
      <c r="J3" t="s">
        <v>145</v>
      </c>
      <c r="K3" t="s">
        <v>141</v>
      </c>
      <c r="L3" t="s">
        <v>140</v>
      </c>
      <c r="O3" s="47" t="s">
        <v>273</v>
      </c>
      <c r="P3" s="47" t="s">
        <v>274</v>
      </c>
      <c r="Q3" s="47" t="s">
        <v>275</v>
      </c>
      <c r="R3" s="47" t="s">
        <v>276</v>
      </c>
      <c r="S3" s="47" t="s">
        <v>277</v>
      </c>
      <c r="T3" s="47" t="s">
        <v>278</v>
      </c>
    </row>
    <row r="4" spans="1:20" ht="15" thickBot="1" x14ac:dyDescent="0.35">
      <c r="B4" s="16" t="s">
        <v>142</v>
      </c>
      <c r="C4" s="19"/>
      <c r="D4" s="22">
        <v>-15237.5</v>
      </c>
      <c r="E4" t="e">
        <f>LOOKUP(Table8[[#This Row],[Annual salary]],Table11[])</f>
        <v>#N/A</v>
      </c>
      <c r="G4" s="16" t="s">
        <v>139</v>
      </c>
      <c r="H4">
        <f>VLOOKUP(G4,Table8[#All],4,FALSE)</f>
        <v>1416</v>
      </c>
      <c r="J4" t="s">
        <v>84</v>
      </c>
      <c r="O4" s="48" t="s">
        <v>279</v>
      </c>
      <c r="P4" s="48" t="s">
        <v>280</v>
      </c>
      <c r="Q4" s="49" t="s">
        <v>281</v>
      </c>
      <c r="R4" s="49" t="s">
        <v>282</v>
      </c>
      <c r="S4" s="49" t="s">
        <v>283</v>
      </c>
      <c r="T4" s="49" t="s">
        <v>284</v>
      </c>
    </row>
    <row r="5" spans="1:20" x14ac:dyDescent="0.3">
      <c r="A5" t="s">
        <v>135</v>
      </c>
      <c r="B5" s="16" t="s">
        <v>87</v>
      </c>
      <c r="C5" s="19" t="s">
        <v>95</v>
      </c>
      <c r="D5" s="22">
        <v>786</v>
      </c>
      <c r="E5" t="e">
        <f>LOOKUP(Table8[[#This Row],[Annual salary]],Table11[])</f>
        <v>#N/A</v>
      </c>
      <c r="G5" s="15" t="s">
        <v>133</v>
      </c>
      <c r="H5">
        <f>VLOOKUP(G5,Table8[],4,FALSE)</f>
        <v>141604</v>
      </c>
      <c r="O5" s="50" t="s">
        <v>285</v>
      </c>
      <c r="P5" s="50" t="s">
        <v>286</v>
      </c>
      <c r="Q5" s="51">
        <v>5000</v>
      </c>
      <c r="R5" s="51">
        <v>7000</v>
      </c>
      <c r="S5" s="50">
        <v>8500</v>
      </c>
      <c r="T5" s="51">
        <v>9000</v>
      </c>
    </row>
    <row r="6" spans="1:20" x14ac:dyDescent="0.3">
      <c r="A6" t="s">
        <v>139</v>
      </c>
      <c r="B6" s="15" t="s">
        <v>66</v>
      </c>
      <c r="C6" s="20" t="s">
        <v>92</v>
      </c>
      <c r="D6" s="22">
        <v>1416</v>
      </c>
      <c r="E6" t="e">
        <f>LOOKUP(Table8[[#This Row],[Annual salary]],Table11[])</f>
        <v>#N/A</v>
      </c>
      <c r="K6" t="s">
        <v>269</v>
      </c>
      <c r="M6" t="s">
        <v>146</v>
      </c>
    </row>
    <row r="7" spans="1:20" x14ac:dyDescent="0.3">
      <c r="B7" s="16" t="s">
        <v>85</v>
      </c>
      <c r="C7" s="19" t="s">
        <v>93</v>
      </c>
      <c r="D7" s="22">
        <v>7867</v>
      </c>
      <c r="E7" t="e">
        <f>LOOKUP(Table8[[#This Row],[Annual salary]],Table11[])</f>
        <v>#N/A</v>
      </c>
      <c r="G7" s="23"/>
      <c r="J7" s="15" t="s">
        <v>135</v>
      </c>
      <c r="K7">
        <f>VLOOKUP(J7,Table8[#All],4,FALSE)</f>
        <v>786</v>
      </c>
      <c r="M7" s="24">
        <v>786</v>
      </c>
      <c r="N7" t="str">
        <f>_xlfn.XLOOKUP(M7,Table8[Annual salary],Table8[full name])</f>
        <v>sneha</v>
      </c>
      <c r="P7" t="s">
        <v>287</v>
      </c>
      <c r="Q7" t="s">
        <v>288</v>
      </c>
      <c r="R7" t="s">
        <v>45</v>
      </c>
    </row>
    <row r="8" spans="1:20" x14ac:dyDescent="0.3">
      <c r="A8" t="s">
        <v>134</v>
      </c>
      <c r="B8" s="15" t="s">
        <v>86</v>
      </c>
      <c r="C8" s="20" t="s">
        <v>94</v>
      </c>
      <c r="D8" s="22">
        <v>78687</v>
      </c>
      <c r="E8">
        <f>LOOKUP(Table8[[#This Row],[Annual salary]],Table11[])</f>
        <v>0.05</v>
      </c>
      <c r="J8" s="16" t="s">
        <v>139</v>
      </c>
      <c r="K8">
        <f>VLOOKUP(J8,Table8[#All],4,FALSE)</f>
        <v>1416</v>
      </c>
      <c r="M8" s="24">
        <v>786</v>
      </c>
      <c r="N8" t="str">
        <f>_xlfn.XLOOKUP(M8,Table8[Annual salary],Table8[full name])</f>
        <v>sneha</v>
      </c>
      <c r="P8" t="s">
        <v>281</v>
      </c>
      <c r="Q8">
        <f>HLOOKUP(P8,$Q$4:$T$5,2,FALSE)</f>
        <v>5000</v>
      </c>
    </row>
    <row r="9" spans="1:20" x14ac:dyDescent="0.3">
      <c r="A9" t="s">
        <v>133</v>
      </c>
      <c r="B9" s="16" t="s">
        <v>84</v>
      </c>
      <c r="C9" s="19" t="s">
        <v>88</v>
      </c>
      <c r="D9" s="22">
        <v>141604</v>
      </c>
      <c r="E9" s="26">
        <f>LOOKUP(Table8[[#This Row],[Annual salary]],Table11[])</f>
        <v>0.15</v>
      </c>
      <c r="G9" t="s">
        <v>84</v>
      </c>
      <c r="H9" t="str">
        <f>VLOOKUP(G9,Table8[],3)</f>
        <v>sr.manager</v>
      </c>
      <c r="J9" s="16" t="s">
        <v>134</v>
      </c>
      <c r="K9">
        <f>VLOOKUP(J9,Table8[#All],4,FALSE)</f>
        <v>78687</v>
      </c>
      <c r="M9" s="42">
        <v>78687</v>
      </c>
      <c r="N9" t="str">
        <f>_xlfn.XLOOKUP(M9,Table8[Annual salary],Table8[full name])</f>
        <v>ram</v>
      </c>
      <c r="P9" t="s">
        <v>282</v>
      </c>
      <c r="Q9">
        <f>HLOOKUP(P9,$Q$4:$T$5,2,0)</f>
        <v>7000</v>
      </c>
    </row>
    <row r="10" spans="1:20" x14ac:dyDescent="0.3">
      <c r="B10" s="27" t="s">
        <v>152</v>
      </c>
      <c r="C10" s="28"/>
      <c r="D10" s="22"/>
      <c r="E10" t="e">
        <f>LOOKUP(Table8[[#This Row],[Annual salary]],Table11[])</f>
        <v>#N/A</v>
      </c>
      <c r="G10" t="s">
        <v>66</v>
      </c>
      <c r="H10" t="str">
        <f>VLOOKUP(B6,Table8[[full name]:[job title ]],2,FALSE)</f>
        <v>technical architect</v>
      </c>
      <c r="J10" s="16" t="s">
        <v>134</v>
      </c>
      <c r="K10">
        <f>VLOOKUP(J10,Table8[#All],4,FALSE)</f>
        <v>78687</v>
      </c>
      <c r="P10" t="s">
        <v>283</v>
      </c>
      <c r="Q10">
        <f>HLOOKUP(P10,$Q$4:$T$5,2,FALSE)</f>
        <v>8500</v>
      </c>
    </row>
    <row r="11" spans="1:20" x14ac:dyDescent="0.3">
      <c r="J11" s="15" t="s">
        <v>133</v>
      </c>
      <c r="K11">
        <f>VLOOKUP(J11,Table8[#All],4,FALSE)</f>
        <v>141604</v>
      </c>
      <c r="P11" t="s">
        <v>284</v>
      </c>
      <c r="Q11">
        <f>HLOOKUP(P11,$Q$4:$T$5,2,0)</f>
        <v>9000</v>
      </c>
    </row>
    <row r="12" spans="1:20" x14ac:dyDescent="0.3">
      <c r="H12" t="s">
        <v>140</v>
      </c>
    </row>
    <row r="13" spans="1:20" x14ac:dyDescent="0.3">
      <c r="B13" s="1" t="s">
        <v>148</v>
      </c>
      <c r="C13" s="1" t="s">
        <v>147</v>
      </c>
      <c r="G13" s="24">
        <v>-56110.5</v>
      </c>
      <c r="H13" t="str">
        <f>INDEX(Table8[full name],MATCH(G13,Table8[Annual salary],0))</f>
        <v>fsff</v>
      </c>
      <c r="J13" s="23">
        <v>50000</v>
      </c>
      <c r="K13" s="43">
        <f>VLOOKUP(J13,Table11[#All],2,FALSE)</f>
        <v>0.05</v>
      </c>
    </row>
    <row r="14" spans="1:20" x14ac:dyDescent="0.3">
      <c r="B14" s="1">
        <v>50000</v>
      </c>
      <c r="C14" s="25">
        <v>0.05</v>
      </c>
      <c r="G14" s="16" t="s">
        <v>144</v>
      </c>
      <c r="H14">
        <f>INDEX(Table8[Annual salary],MATCH(B2,Table8[full name],0))</f>
        <v>-56110.5</v>
      </c>
    </row>
    <row r="15" spans="1:20" x14ac:dyDescent="0.3">
      <c r="B15" s="1">
        <v>80000</v>
      </c>
      <c r="C15" s="25">
        <v>0.1</v>
      </c>
    </row>
    <row r="16" spans="1:20" x14ac:dyDescent="0.3">
      <c r="B16" s="1">
        <v>100000</v>
      </c>
      <c r="C16" s="25">
        <v>0.15</v>
      </c>
    </row>
    <row r="17" spans="2:7" x14ac:dyDescent="0.3">
      <c r="B17" s="1">
        <v>150000</v>
      </c>
      <c r="C17" s="25">
        <v>0.2</v>
      </c>
    </row>
    <row r="19" spans="2:7" x14ac:dyDescent="0.3">
      <c r="E19" t="s">
        <v>150</v>
      </c>
      <c r="F19" t="s">
        <v>137</v>
      </c>
      <c r="G19" t="s">
        <v>149</v>
      </c>
    </row>
    <row r="20" spans="2:7" x14ac:dyDescent="0.3">
      <c r="F20" s="15" t="s">
        <v>135</v>
      </c>
      <c r="G20" t="str">
        <f>LOOKUP(F20,Table8[[EEID]:[job title ]])</f>
        <v>sr.manager</v>
      </c>
    </row>
    <row r="22" spans="2:7" x14ac:dyDescent="0.3">
      <c r="E22" t="s">
        <v>151</v>
      </c>
      <c r="F22">
        <f>_xlfn.XLOOKUP(F20,Table8[EEID],Table8[Annual salary])</f>
        <v>786</v>
      </c>
    </row>
  </sheetData>
  <phoneticPr fontId="3" type="noConversion"/>
  <dataValidations count="2">
    <dataValidation type="list" allowBlank="1" showInputMessage="1" showErrorMessage="1" sqref="B1:B10 G14" xr:uid="{1494FE07-F40C-4327-8FB7-464CDE2DD7C3}">
      <formula1>$B$1:$B$10</formula1>
    </dataValidation>
    <dataValidation type="list" allowBlank="1" showInputMessage="1" showErrorMessage="1" sqref="J4" xr:uid="{6C783AF0-CE42-458E-AA93-9624DA73087E}">
      <formula1>$B$2:$B$10</formula1>
    </dataValidation>
  </dataValidations>
  <pageMargins left="0.7" right="0.7" top="0.75" bottom="0.75" header="0.3" footer="0.3"/>
  <ignoredErrors>
    <ignoredError sqref="Q9" formula="1"/>
  </ignoredErrors>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9B02-3DEE-4229-AAF3-964FFFAE77D0}">
  <sheetPr codeName="Sheet7"/>
  <dimension ref="A1:J278"/>
  <sheetViews>
    <sheetView workbookViewId="0">
      <selection activeCell="H5" sqref="H5"/>
    </sheetView>
  </sheetViews>
  <sheetFormatPr defaultRowHeight="14.4" x14ac:dyDescent="0.3"/>
  <cols>
    <col min="1" max="1" width="22.33203125" customWidth="1"/>
    <col min="2" max="2" width="7.109375" customWidth="1"/>
    <col min="3" max="6" width="10.109375" bestFit="1" customWidth="1"/>
    <col min="9" max="9" width="7.109375" bestFit="1" customWidth="1"/>
  </cols>
  <sheetData>
    <row r="1" spans="1:10" x14ac:dyDescent="0.3">
      <c r="A1" s="29" t="s">
        <v>154</v>
      </c>
      <c r="B1" s="29" t="s">
        <v>155</v>
      </c>
      <c r="C1" s="29" t="s">
        <v>156</v>
      </c>
      <c r="D1" s="29" t="s">
        <v>157</v>
      </c>
      <c r="E1" s="29" t="s">
        <v>158</v>
      </c>
      <c r="F1" s="29" t="s">
        <v>159</v>
      </c>
      <c r="J1" t="s">
        <v>268</v>
      </c>
    </row>
    <row r="2" spans="1:10" ht="28.8" x14ac:dyDescent="0.3">
      <c r="A2" s="30" t="s">
        <v>160</v>
      </c>
      <c r="B2" t="s">
        <v>161</v>
      </c>
      <c r="C2" s="31">
        <v>2281.5</v>
      </c>
      <c r="D2" s="31">
        <v>3159</v>
      </c>
      <c r="E2" s="31">
        <v>3900</v>
      </c>
      <c r="F2" s="31">
        <v>2700</v>
      </c>
      <c r="I2" t="s">
        <v>161</v>
      </c>
      <c r="J2" t="e">
        <f>VLOOKUP(Table12[[#This Row],[Customer]],A1:F278,4,FALSE)</f>
        <v>#N/A</v>
      </c>
    </row>
    <row r="3" spans="1:10" ht="28.8" x14ac:dyDescent="0.3">
      <c r="A3" s="30" t="s">
        <v>160</v>
      </c>
      <c r="B3" t="s">
        <v>162</v>
      </c>
      <c r="C3" s="31">
        <v>1550.4</v>
      </c>
      <c r="D3" s="31">
        <v>2760</v>
      </c>
      <c r="E3" s="31">
        <v>2380</v>
      </c>
      <c r="F3" s="31">
        <v>2607.15</v>
      </c>
    </row>
    <row r="4" spans="1:10" ht="28.8" x14ac:dyDescent="0.3">
      <c r="A4" s="30" t="s">
        <v>160</v>
      </c>
      <c r="B4" t="s">
        <v>163</v>
      </c>
      <c r="C4" s="31">
        <v>1170</v>
      </c>
      <c r="D4" s="31">
        <v>2427.6</v>
      </c>
      <c r="E4" s="31">
        <v>2261</v>
      </c>
      <c r="F4" s="31">
        <v>1840</v>
      </c>
    </row>
    <row r="5" spans="1:10" ht="28.8" x14ac:dyDescent="0.3">
      <c r="A5" s="30" t="s">
        <v>160</v>
      </c>
      <c r="B5" t="s">
        <v>164</v>
      </c>
      <c r="C5" s="31">
        <v>1123.2</v>
      </c>
      <c r="D5" s="31">
        <v>1560</v>
      </c>
      <c r="E5" s="31">
        <v>2088</v>
      </c>
      <c r="F5" s="31">
        <v>1700</v>
      </c>
    </row>
    <row r="6" spans="1:10" ht="28.8" x14ac:dyDescent="0.3">
      <c r="A6" s="30" t="s">
        <v>160</v>
      </c>
      <c r="B6" t="s">
        <v>165</v>
      </c>
      <c r="C6" s="31">
        <v>1112</v>
      </c>
      <c r="D6" s="31">
        <v>1275</v>
      </c>
      <c r="E6" s="31">
        <v>1776.5</v>
      </c>
      <c r="F6" s="31">
        <v>1600</v>
      </c>
    </row>
    <row r="7" spans="1:10" ht="28.8" x14ac:dyDescent="0.3">
      <c r="A7" s="30" t="s">
        <v>160</v>
      </c>
      <c r="B7" t="s">
        <v>166</v>
      </c>
      <c r="C7" s="31">
        <v>1088</v>
      </c>
      <c r="D7" s="31">
        <v>1150</v>
      </c>
      <c r="E7" s="31">
        <v>1750</v>
      </c>
      <c r="F7" s="31">
        <v>1515.6</v>
      </c>
    </row>
    <row r="8" spans="1:10" ht="28.8" x14ac:dyDescent="0.3">
      <c r="A8" s="30" t="s">
        <v>160</v>
      </c>
      <c r="B8" t="s">
        <v>167</v>
      </c>
      <c r="C8" s="31">
        <v>921.37</v>
      </c>
      <c r="D8" s="31">
        <v>1093.5</v>
      </c>
      <c r="E8" s="31">
        <v>1701</v>
      </c>
      <c r="F8" s="31">
        <v>1317</v>
      </c>
    </row>
    <row r="9" spans="1:10" ht="28.8" x14ac:dyDescent="0.3">
      <c r="A9" s="30" t="s">
        <v>160</v>
      </c>
      <c r="B9" t="s">
        <v>168</v>
      </c>
      <c r="C9" s="31">
        <v>816</v>
      </c>
      <c r="D9" s="31">
        <v>1045</v>
      </c>
      <c r="E9" s="31">
        <v>1389.6</v>
      </c>
      <c r="F9" s="31">
        <v>1299.8399999999999</v>
      </c>
    </row>
    <row r="10" spans="1:10" ht="28.8" x14ac:dyDescent="0.3">
      <c r="A10" s="30" t="s">
        <v>160</v>
      </c>
      <c r="B10" t="s">
        <v>169</v>
      </c>
      <c r="C10" s="31">
        <v>736</v>
      </c>
      <c r="D10" s="31">
        <v>1044</v>
      </c>
      <c r="E10" s="31">
        <v>1360.8</v>
      </c>
      <c r="F10" s="31">
        <v>1218</v>
      </c>
    </row>
    <row r="11" spans="1:10" ht="28.8" x14ac:dyDescent="0.3">
      <c r="A11" s="30" t="s">
        <v>160</v>
      </c>
      <c r="B11" t="s">
        <v>170</v>
      </c>
      <c r="C11" s="31">
        <v>720</v>
      </c>
      <c r="D11" s="31">
        <v>990</v>
      </c>
      <c r="E11" s="31">
        <v>1350</v>
      </c>
      <c r="F11" s="31">
        <v>1170</v>
      </c>
    </row>
    <row r="12" spans="1:10" ht="28.8" x14ac:dyDescent="0.3">
      <c r="A12" s="30" t="s">
        <v>160</v>
      </c>
      <c r="B12" t="s">
        <v>171</v>
      </c>
      <c r="C12" s="31">
        <v>693.6</v>
      </c>
      <c r="D12" s="31">
        <v>960</v>
      </c>
      <c r="E12" s="31">
        <v>1223.5999999999999</v>
      </c>
      <c r="F12" s="31">
        <v>1104</v>
      </c>
    </row>
    <row r="13" spans="1:10" ht="28.8" x14ac:dyDescent="0.3">
      <c r="A13" s="30" t="s">
        <v>160</v>
      </c>
      <c r="B13" t="s">
        <v>172</v>
      </c>
      <c r="C13" s="31">
        <v>691.2</v>
      </c>
      <c r="D13" s="31">
        <v>935</v>
      </c>
      <c r="E13" s="31">
        <v>1104</v>
      </c>
      <c r="F13" s="31">
        <v>1050</v>
      </c>
    </row>
    <row r="14" spans="1:10" ht="28.8" x14ac:dyDescent="0.3">
      <c r="A14" s="30" t="s">
        <v>160</v>
      </c>
      <c r="B14" t="s">
        <v>173</v>
      </c>
      <c r="C14" s="31">
        <v>588</v>
      </c>
      <c r="D14" s="31">
        <v>920</v>
      </c>
      <c r="E14" s="31">
        <v>1050</v>
      </c>
      <c r="F14" s="31">
        <v>1035</v>
      </c>
    </row>
    <row r="15" spans="1:10" x14ac:dyDescent="0.3">
      <c r="A15" s="30" t="s">
        <v>174</v>
      </c>
      <c r="B15" t="s">
        <v>175</v>
      </c>
      <c r="C15" s="31">
        <v>552</v>
      </c>
      <c r="D15" s="31">
        <v>892.5</v>
      </c>
      <c r="E15" s="31">
        <v>1020</v>
      </c>
      <c r="F15" s="31">
        <v>960</v>
      </c>
    </row>
    <row r="16" spans="1:10" x14ac:dyDescent="0.3">
      <c r="A16" s="30" t="s">
        <v>174</v>
      </c>
      <c r="B16" t="s">
        <v>164</v>
      </c>
      <c r="C16" s="31">
        <v>551.25</v>
      </c>
      <c r="D16" s="31">
        <v>877.5</v>
      </c>
      <c r="E16" s="31">
        <v>936</v>
      </c>
      <c r="F16" s="31">
        <v>890</v>
      </c>
    </row>
    <row r="17" spans="1:6" x14ac:dyDescent="0.3">
      <c r="A17" s="30" t="s">
        <v>174</v>
      </c>
      <c r="B17" t="s">
        <v>165</v>
      </c>
      <c r="C17" s="31">
        <v>544</v>
      </c>
      <c r="D17" s="31">
        <v>835.2</v>
      </c>
      <c r="E17" s="31">
        <v>920</v>
      </c>
      <c r="F17" s="31">
        <v>887.4</v>
      </c>
    </row>
    <row r="18" spans="1:6" x14ac:dyDescent="0.3">
      <c r="A18" s="30" t="s">
        <v>174</v>
      </c>
      <c r="B18" t="s">
        <v>176</v>
      </c>
      <c r="C18" s="31">
        <v>544</v>
      </c>
      <c r="D18" s="31">
        <v>835.2</v>
      </c>
      <c r="E18" s="31">
        <v>842.88</v>
      </c>
      <c r="F18" s="31">
        <v>878</v>
      </c>
    </row>
    <row r="19" spans="1:6" x14ac:dyDescent="0.3">
      <c r="A19" s="30" t="s">
        <v>174</v>
      </c>
      <c r="B19" t="s">
        <v>177</v>
      </c>
      <c r="C19" s="31">
        <v>504</v>
      </c>
      <c r="D19" s="31">
        <v>820.95</v>
      </c>
      <c r="E19" s="31">
        <v>772.8</v>
      </c>
      <c r="F19" s="31">
        <v>850</v>
      </c>
    </row>
    <row r="20" spans="1:6" x14ac:dyDescent="0.3">
      <c r="A20" s="30" t="s">
        <v>174</v>
      </c>
      <c r="B20" t="s">
        <v>178</v>
      </c>
      <c r="C20" s="31">
        <v>423.36</v>
      </c>
      <c r="D20" s="31">
        <v>730.8</v>
      </c>
      <c r="E20" s="31">
        <v>680</v>
      </c>
      <c r="F20" s="31">
        <v>842</v>
      </c>
    </row>
    <row r="21" spans="1:6" x14ac:dyDescent="0.3">
      <c r="A21" s="30" t="s">
        <v>179</v>
      </c>
      <c r="B21" t="s">
        <v>161</v>
      </c>
      <c r="C21" s="31">
        <v>400</v>
      </c>
      <c r="D21" s="31">
        <v>702</v>
      </c>
      <c r="E21" s="31">
        <v>612</v>
      </c>
      <c r="F21" s="31">
        <v>789.75</v>
      </c>
    </row>
    <row r="22" spans="1:6" x14ac:dyDescent="0.3">
      <c r="A22" s="30" t="s">
        <v>179</v>
      </c>
      <c r="B22" t="s">
        <v>162</v>
      </c>
      <c r="C22" s="31">
        <v>372.4</v>
      </c>
      <c r="D22" s="31">
        <v>695</v>
      </c>
      <c r="E22" s="31">
        <v>600</v>
      </c>
      <c r="F22" s="31">
        <v>780</v>
      </c>
    </row>
    <row r="23" spans="1:6" x14ac:dyDescent="0.3">
      <c r="A23" s="30" t="s">
        <v>179</v>
      </c>
      <c r="B23" t="s">
        <v>180</v>
      </c>
      <c r="C23" s="31">
        <v>364.8</v>
      </c>
      <c r="D23" s="31">
        <v>694.8</v>
      </c>
      <c r="E23" s="31">
        <v>550</v>
      </c>
      <c r="F23" s="31">
        <v>780</v>
      </c>
    </row>
    <row r="24" spans="1:6" x14ac:dyDescent="0.3">
      <c r="A24" s="30" t="s">
        <v>179</v>
      </c>
      <c r="B24" t="s">
        <v>164</v>
      </c>
      <c r="C24" s="31">
        <v>336</v>
      </c>
      <c r="D24" s="31">
        <v>693.6</v>
      </c>
      <c r="E24" s="31">
        <v>524.4</v>
      </c>
      <c r="F24" s="31">
        <v>750</v>
      </c>
    </row>
    <row r="25" spans="1:6" x14ac:dyDescent="0.3">
      <c r="A25" s="30" t="s">
        <v>179</v>
      </c>
      <c r="B25" t="s">
        <v>181</v>
      </c>
      <c r="C25" s="31">
        <v>312</v>
      </c>
      <c r="D25" s="31">
        <v>682.02</v>
      </c>
      <c r="E25" s="31">
        <v>522</v>
      </c>
      <c r="F25" s="31">
        <v>741</v>
      </c>
    </row>
    <row r="26" spans="1:6" x14ac:dyDescent="0.3">
      <c r="A26" s="30" t="s">
        <v>179</v>
      </c>
      <c r="B26" t="s">
        <v>182</v>
      </c>
      <c r="C26" s="31">
        <v>312</v>
      </c>
      <c r="D26" s="31">
        <v>600</v>
      </c>
      <c r="E26" s="31">
        <v>510</v>
      </c>
      <c r="F26" s="31">
        <v>736</v>
      </c>
    </row>
    <row r="27" spans="1:6" x14ac:dyDescent="0.3">
      <c r="A27" s="30" t="s">
        <v>179</v>
      </c>
      <c r="B27" t="s">
        <v>183</v>
      </c>
      <c r="C27" s="31">
        <v>308.7</v>
      </c>
      <c r="D27" s="31">
        <v>600</v>
      </c>
      <c r="E27" s="31">
        <v>486</v>
      </c>
      <c r="F27" s="31">
        <v>736</v>
      </c>
    </row>
    <row r="28" spans="1:6" x14ac:dyDescent="0.3">
      <c r="A28" s="30" t="s">
        <v>179</v>
      </c>
      <c r="B28" t="s">
        <v>184</v>
      </c>
      <c r="C28" s="31">
        <v>297.5</v>
      </c>
      <c r="D28" s="31">
        <v>599.91999999999996</v>
      </c>
      <c r="E28" s="31">
        <v>442.05</v>
      </c>
      <c r="F28" s="31">
        <v>625</v>
      </c>
    </row>
    <row r="29" spans="1:6" x14ac:dyDescent="0.3">
      <c r="A29" s="30" t="s">
        <v>179</v>
      </c>
      <c r="B29" t="s">
        <v>185</v>
      </c>
      <c r="C29" s="31">
        <v>294</v>
      </c>
      <c r="D29" s="31">
        <v>593.75</v>
      </c>
      <c r="E29" s="31">
        <v>420</v>
      </c>
      <c r="F29" s="31">
        <v>625</v>
      </c>
    </row>
    <row r="30" spans="1:6" x14ac:dyDescent="0.3">
      <c r="A30" s="30" t="s">
        <v>179</v>
      </c>
      <c r="B30" t="s">
        <v>186</v>
      </c>
      <c r="C30" s="31">
        <v>294</v>
      </c>
      <c r="D30" s="31">
        <v>592.79999999999995</v>
      </c>
      <c r="E30" s="31">
        <v>419.52</v>
      </c>
      <c r="F30" s="31">
        <v>554.4</v>
      </c>
    </row>
    <row r="31" spans="1:6" x14ac:dyDescent="0.3">
      <c r="A31" s="30" t="s">
        <v>179</v>
      </c>
      <c r="B31" t="s">
        <v>187</v>
      </c>
      <c r="C31" s="31">
        <v>292</v>
      </c>
      <c r="D31" s="31">
        <v>586.5</v>
      </c>
      <c r="E31" s="31">
        <v>417.6</v>
      </c>
      <c r="F31" s="31">
        <v>550</v>
      </c>
    </row>
    <row r="32" spans="1:6" x14ac:dyDescent="0.3">
      <c r="A32" s="30" t="s">
        <v>179</v>
      </c>
      <c r="B32" t="s">
        <v>188</v>
      </c>
      <c r="C32" s="31">
        <v>278</v>
      </c>
      <c r="D32" s="31">
        <v>584.37</v>
      </c>
      <c r="E32" s="31">
        <v>405</v>
      </c>
      <c r="F32" s="31">
        <v>510</v>
      </c>
    </row>
    <row r="33" spans="1:6" x14ac:dyDescent="0.3">
      <c r="A33" s="30" t="s">
        <v>179</v>
      </c>
      <c r="B33" t="s">
        <v>189</v>
      </c>
      <c r="C33" s="31">
        <v>272</v>
      </c>
      <c r="D33" s="31">
        <v>560</v>
      </c>
      <c r="E33" s="31">
        <v>390</v>
      </c>
      <c r="F33" s="31">
        <v>510</v>
      </c>
    </row>
    <row r="34" spans="1:6" x14ac:dyDescent="0.3">
      <c r="A34" s="30" t="s">
        <v>179</v>
      </c>
      <c r="B34" t="s">
        <v>177</v>
      </c>
      <c r="C34" s="31">
        <v>240</v>
      </c>
      <c r="D34" s="31">
        <v>540</v>
      </c>
      <c r="E34" s="31">
        <v>368</v>
      </c>
      <c r="F34" s="31">
        <v>504</v>
      </c>
    </row>
    <row r="35" spans="1:6" x14ac:dyDescent="0.3">
      <c r="A35" s="30" t="s">
        <v>179</v>
      </c>
      <c r="B35" t="s">
        <v>190</v>
      </c>
      <c r="C35" s="31">
        <v>240</v>
      </c>
      <c r="D35" s="31">
        <v>515.20000000000005</v>
      </c>
      <c r="E35" s="31">
        <v>360</v>
      </c>
      <c r="F35" s="31">
        <v>437</v>
      </c>
    </row>
    <row r="36" spans="1:6" x14ac:dyDescent="0.3">
      <c r="A36" s="30" t="s">
        <v>179</v>
      </c>
      <c r="B36" t="s">
        <v>171</v>
      </c>
      <c r="C36" s="31">
        <v>231</v>
      </c>
      <c r="D36" s="31">
        <v>490</v>
      </c>
      <c r="E36" s="31">
        <v>352</v>
      </c>
      <c r="F36" s="31">
        <v>420</v>
      </c>
    </row>
    <row r="37" spans="1:6" x14ac:dyDescent="0.3">
      <c r="A37" s="30" t="s">
        <v>179</v>
      </c>
      <c r="B37" t="s">
        <v>191</v>
      </c>
      <c r="C37" s="31">
        <v>225.28</v>
      </c>
      <c r="D37" s="31">
        <v>421.25</v>
      </c>
      <c r="E37" s="31">
        <v>350</v>
      </c>
      <c r="F37" s="31">
        <v>405.3</v>
      </c>
    </row>
    <row r="38" spans="1:6" x14ac:dyDescent="0.3">
      <c r="A38" s="30" t="s">
        <v>179</v>
      </c>
      <c r="B38" t="s">
        <v>178</v>
      </c>
      <c r="C38" s="31">
        <v>216</v>
      </c>
      <c r="D38" s="31">
        <v>421</v>
      </c>
      <c r="E38" s="31">
        <v>340</v>
      </c>
      <c r="F38" s="31">
        <v>400</v>
      </c>
    </row>
    <row r="39" spans="1:6" x14ac:dyDescent="0.3">
      <c r="A39" s="30" t="s">
        <v>192</v>
      </c>
      <c r="B39" t="s">
        <v>193</v>
      </c>
      <c r="C39" s="31">
        <v>187.2</v>
      </c>
      <c r="D39" s="31">
        <v>420</v>
      </c>
      <c r="E39" s="31">
        <v>300</v>
      </c>
      <c r="F39" s="31">
        <v>400</v>
      </c>
    </row>
    <row r="40" spans="1:6" x14ac:dyDescent="0.3">
      <c r="A40" s="30" t="s">
        <v>192</v>
      </c>
      <c r="B40" t="s">
        <v>194</v>
      </c>
      <c r="C40" s="31">
        <v>179.2</v>
      </c>
      <c r="D40" s="31">
        <v>408</v>
      </c>
      <c r="E40" s="31">
        <v>288.22000000000003</v>
      </c>
      <c r="F40" s="31">
        <v>395.1</v>
      </c>
    </row>
    <row r="41" spans="1:6" x14ac:dyDescent="0.3">
      <c r="A41" s="30" t="s">
        <v>192</v>
      </c>
      <c r="B41" t="s">
        <v>162</v>
      </c>
      <c r="C41" s="31">
        <v>166.44</v>
      </c>
      <c r="D41" s="31">
        <v>375</v>
      </c>
      <c r="E41" s="31">
        <v>276</v>
      </c>
      <c r="F41" s="31">
        <v>380</v>
      </c>
    </row>
    <row r="42" spans="1:6" x14ac:dyDescent="0.3">
      <c r="A42" s="30" t="s">
        <v>192</v>
      </c>
      <c r="B42" t="s">
        <v>164</v>
      </c>
      <c r="C42" s="31">
        <v>154</v>
      </c>
      <c r="D42" s="31">
        <v>375</v>
      </c>
      <c r="E42" s="31">
        <v>276</v>
      </c>
      <c r="F42" s="31">
        <v>378</v>
      </c>
    </row>
    <row r="43" spans="1:6" x14ac:dyDescent="0.3">
      <c r="A43" s="30" t="s">
        <v>192</v>
      </c>
      <c r="B43" t="s">
        <v>195</v>
      </c>
      <c r="C43" s="31">
        <v>153.30000000000001</v>
      </c>
      <c r="D43" s="31">
        <v>360</v>
      </c>
      <c r="E43" s="31">
        <v>268.39</v>
      </c>
      <c r="F43" s="31">
        <v>350</v>
      </c>
    </row>
    <row r="44" spans="1:6" x14ac:dyDescent="0.3">
      <c r="A44" s="30" t="s">
        <v>192</v>
      </c>
      <c r="B44" t="s">
        <v>196</v>
      </c>
      <c r="C44" s="31">
        <v>147</v>
      </c>
      <c r="D44" s="31">
        <v>346.8</v>
      </c>
      <c r="E44" s="31">
        <v>252.6</v>
      </c>
      <c r="F44" s="31">
        <v>348</v>
      </c>
    </row>
    <row r="45" spans="1:6" x14ac:dyDescent="0.3">
      <c r="A45" s="30" t="s">
        <v>192</v>
      </c>
      <c r="B45" t="s">
        <v>197</v>
      </c>
      <c r="C45" s="31">
        <v>147</v>
      </c>
      <c r="D45" s="31">
        <v>340</v>
      </c>
      <c r="E45" s="31">
        <v>248.4</v>
      </c>
      <c r="F45" s="31">
        <v>340</v>
      </c>
    </row>
    <row r="46" spans="1:6" x14ac:dyDescent="0.3">
      <c r="A46" s="30" t="s">
        <v>192</v>
      </c>
      <c r="B46" t="s">
        <v>198</v>
      </c>
      <c r="C46" s="31">
        <v>146</v>
      </c>
      <c r="D46" s="31">
        <v>323</v>
      </c>
      <c r="E46" s="31">
        <v>240</v>
      </c>
      <c r="F46" s="31">
        <v>337.75</v>
      </c>
    </row>
    <row r="47" spans="1:6" x14ac:dyDescent="0.3">
      <c r="A47" s="30" t="s">
        <v>192</v>
      </c>
      <c r="B47" t="s">
        <v>199</v>
      </c>
      <c r="C47" s="31">
        <v>140</v>
      </c>
      <c r="D47" s="31">
        <v>320</v>
      </c>
      <c r="E47" s="31">
        <v>237.6</v>
      </c>
      <c r="F47" s="31">
        <v>304</v>
      </c>
    </row>
    <row r="48" spans="1:6" x14ac:dyDescent="0.3">
      <c r="A48" s="30" t="s">
        <v>192</v>
      </c>
      <c r="B48" t="s">
        <v>185</v>
      </c>
      <c r="C48" s="31">
        <v>128</v>
      </c>
      <c r="D48" s="31">
        <v>313.2</v>
      </c>
      <c r="E48" s="31">
        <v>237.5</v>
      </c>
      <c r="F48" s="31">
        <v>300</v>
      </c>
    </row>
    <row r="49" spans="1:6" x14ac:dyDescent="0.3">
      <c r="A49" s="30" t="s">
        <v>192</v>
      </c>
      <c r="B49" t="s">
        <v>200</v>
      </c>
      <c r="C49" s="31">
        <v>126</v>
      </c>
      <c r="D49" s="31">
        <v>306</v>
      </c>
      <c r="E49" s="31">
        <v>225</v>
      </c>
      <c r="F49" s="31">
        <v>275.02</v>
      </c>
    </row>
    <row r="50" spans="1:6" x14ac:dyDescent="0.3">
      <c r="A50" s="30" t="s">
        <v>192</v>
      </c>
      <c r="B50" t="s">
        <v>187</v>
      </c>
      <c r="C50" s="31">
        <v>124.83</v>
      </c>
      <c r="D50" s="31">
        <v>300</v>
      </c>
      <c r="E50" s="31">
        <v>210.5</v>
      </c>
      <c r="F50" s="31">
        <v>270</v>
      </c>
    </row>
    <row r="51" spans="1:6" x14ac:dyDescent="0.3">
      <c r="A51" s="30" t="s">
        <v>192</v>
      </c>
      <c r="B51" t="s">
        <v>189</v>
      </c>
      <c r="C51" s="31">
        <v>120</v>
      </c>
      <c r="D51" s="31">
        <v>280.8</v>
      </c>
      <c r="E51" s="31">
        <v>202.08</v>
      </c>
      <c r="F51" s="31">
        <v>250</v>
      </c>
    </row>
    <row r="52" spans="1:6" x14ac:dyDescent="0.3">
      <c r="A52" s="30" t="s">
        <v>192</v>
      </c>
      <c r="B52" t="s">
        <v>177</v>
      </c>
      <c r="C52" s="31">
        <v>115.2</v>
      </c>
      <c r="D52" s="31">
        <v>263.39999999999998</v>
      </c>
      <c r="E52" s="31">
        <v>198</v>
      </c>
      <c r="F52" s="31">
        <v>243.6</v>
      </c>
    </row>
    <row r="53" spans="1:6" x14ac:dyDescent="0.3">
      <c r="A53" s="30" t="s">
        <v>192</v>
      </c>
      <c r="B53" t="s">
        <v>201</v>
      </c>
      <c r="C53" s="31">
        <v>112</v>
      </c>
      <c r="D53" s="31">
        <v>257.60000000000002</v>
      </c>
      <c r="E53" s="31">
        <v>187.5</v>
      </c>
      <c r="F53" s="31">
        <v>209.76</v>
      </c>
    </row>
    <row r="54" spans="1:6" x14ac:dyDescent="0.3">
      <c r="A54" s="30" t="s">
        <v>192</v>
      </c>
      <c r="B54" t="s">
        <v>202</v>
      </c>
      <c r="C54" s="31">
        <v>112</v>
      </c>
      <c r="D54" s="31">
        <v>250</v>
      </c>
      <c r="E54" s="31">
        <v>168</v>
      </c>
      <c r="F54" s="31">
        <v>204.75</v>
      </c>
    </row>
    <row r="55" spans="1:6" x14ac:dyDescent="0.3">
      <c r="A55" s="30" t="s">
        <v>192</v>
      </c>
      <c r="B55" t="s">
        <v>171</v>
      </c>
      <c r="C55" s="31">
        <v>110.4</v>
      </c>
      <c r="D55" s="31">
        <v>250</v>
      </c>
      <c r="E55" s="31">
        <v>154.4</v>
      </c>
      <c r="F55" s="31">
        <v>200</v>
      </c>
    </row>
    <row r="56" spans="1:6" x14ac:dyDescent="0.3">
      <c r="A56" s="30" t="s">
        <v>192</v>
      </c>
      <c r="B56" t="s">
        <v>203</v>
      </c>
      <c r="C56" s="31">
        <v>96</v>
      </c>
      <c r="D56" s="31">
        <v>248.4</v>
      </c>
      <c r="E56" s="31">
        <v>140</v>
      </c>
      <c r="F56" s="31">
        <v>199.97</v>
      </c>
    </row>
    <row r="57" spans="1:6" x14ac:dyDescent="0.3">
      <c r="A57" s="30" t="s">
        <v>192</v>
      </c>
      <c r="B57" t="s">
        <v>204</v>
      </c>
      <c r="C57" s="31">
        <v>75.599999999999994</v>
      </c>
      <c r="D57" s="31">
        <v>226.8</v>
      </c>
      <c r="E57" s="31">
        <v>124.2</v>
      </c>
      <c r="F57" s="31">
        <v>196</v>
      </c>
    </row>
    <row r="58" spans="1:6" ht="28.8" x14ac:dyDescent="0.3">
      <c r="A58" s="30" t="s">
        <v>205</v>
      </c>
      <c r="B58" t="s">
        <v>162</v>
      </c>
      <c r="C58" s="31">
        <v>62.4</v>
      </c>
      <c r="D58" s="31">
        <v>210</v>
      </c>
      <c r="E58" s="31">
        <v>108</v>
      </c>
      <c r="F58" s="31">
        <v>183.35</v>
      </c>
    </row>
    <row r="59" spans="1:6" ht="28.8" x14ac:dyDescent="0.3">
      <c r="A59" s="30" t="s">
        <v>205</v>
      </c>
      <c r="B59" t="s">
        <v>180</v>
      </c>
      <c r="C59" s="31">
        <v>36.5</v>
      </c>
      <c r="D59" s="31">
        <v>190</v>
      </c>
      <c r="E59" s="31">
        <v>90</v>
      </c>
      <c r="F59" s="31">
        <v>180</v>
      </c>
    </row>
    <row r="60" spans="1:6" ht="28.8" x14ac:dyDescent="0.3">
      <c r="A60" s="30" t="s">
        <v>205</v>
      </c>
      <c r="B60" t="s">
        <v>206</v>
      </c>
      <c r="C60" s="31">
        <v>27</v>
      </c>
      <c r="D60" s="31">
        <v>165.6</v>
      </c>
      <c r="E60" s="31">
        <v>82.8</v>
      </c>
      <c r="F60" s="31">
        <v>175</v>
      </c>
    </row>
    <row r="61" spans="1:6" ht="28.8" x14ac:dyDescent="0.3">
      <c r="A61" s="30" t="s">
        <v>205</v>
      </c>
      <c r="B61" t="s">
        <v>207</v>
      </c>
      <c r="C61" s="31">
        <v>26.46</v>
      </c>
      <c r="D61" s="31">
        <v>154</v>
      </c>
      <c r="E61" s="31">
        <v>80</v>
      </c>
      <c r="F61" s="31">
        <v>140</v>
      </c>
    </row>
    <row r="62" spans="1:6" ht="28.8" x14ac:dyDescent="0.3">
      <c r="A62" s="30" t="s">
        <v>205</v>
      </c>
      <c r="B62" t="s">
        <v>198</v>
      </c>
      <c r="C62" s="31">
        <v>24.82</v>
      </c>
      <c r="D62" s="31">
        <v>150</v>
      </c>
      <c r="E62" s="31">
        <v>72</v>
      </c>
      <c r="F62" s="31">
        <v>135.1</v>
      </c>
    </row>
    <row r="63" spans="1:6" ht="28.8" x14ac:dyDescent="0.3">
      <c r="A63" s="30" t="s">
        <v>205</v>
      </c>
      <c r="B63" t="s">
        <v>186</v>
      </c>
      <c r="C63" s="31">
        <v>0</v>
      </c>
      <c r="D63" s="31">
        <v>135.1</v>
      </c>
      <c r="E63" s="31">
        <v>68</v>
      </c>
      <c r="F63" s="31">
        <v>132</v>
      </c>
    </row>
    <row r="64" spans="1:6" ht="28.8" x14ac:dyDescent="0.3">
      <c r="A64" s="30" t="s">
        <v>205</v>
      </c>
      <c r="B64" t="s">
        <v>189</v>
      </c>
      <c r="C64" s="31">
        <v>0</v>
      </c>
      <c r="D64" s="31">
        <v>122.4</v>
      </c>
      <c r="E64" s="31">
        <v>64.400000000000006</v>
      </c>
      <c r="F64" s="31">
        <v>126</v>
      </c>
    </row>
    <row r="65" spans="1:6" ht="28.8" x14ac:dyDescent="0.3">
      <c r="A65" s="30" t="s">
        <v>205</v>
      </c>
      <c r="B65" t="s">
        <v>177</v>
      </c>
      <c r="C65" s="31">
        <v>0</v>
      </c>
      <c r="D65" s="31">
        <v>120</v>
      </c>
      <c r="E65" s="31">
        <v>63</v>
      </c>
      <c r="F65" s="31">
        <v>125</v>
      </c>
    </row>
    <row r="66" spans="1:6" ht="28.8" x14ac:dyDescent="0.3">
      <c r="A66" s="30" t="s">
        <v>205</v>
      </c>
      <c r="B66" t="s">
        <v>208</v>
      </c>
      <c r="C66" s="31">
        <v>0</v>
      </c>
      <c r="D66" s="31">
        <v>117</v>
      </c>
      <c r="E66" s="31">
        <v>60</v>
      </c>
      <c r="F66" s="31">
        <v>121.5</v>
      </c>
    </row>
    <row r="67" spans="1:6" ht="28.8" x14ac:dyDescent="0.3">
      <c r="A67" s="30" t="s">
        <v>205</v>
      </c>
      <c r="B67" t="s">
        <v>203</v>
      </c>
      <c r="C67" s="31">
        <v>0</v>
      </c>
      <c r="D67" s="31">
        <v>110.01</v>
      </c>
      <c r="E67" s="31">
        <v>46</v>
      </c>
      <c r="F67" s="31">
        <v>115.8</v>
      </c>
    </row>
    <row r="68" spans="1:6" x14ac:dyDescent="0.3">
      <c r="A68" s="30" t="s">
        <v>209</v>
      </c>
      <c r="B68" t="s">
        <v>186</v>
      </c>
      <c r="C68" s="31">
        <v>0</v>
      </c>
      <c r="D68" s="31">
        <v>108</v>
      </c>
      <c r="E68" s="31">
        <v>38.6</v>
      </c>
      <c r="F68" s="31">
        <v>115.8</v>
      </c>
    </row>
    <row r="69" spans="1:6" x14ac:dyDescent="0.3">
      <c r="A69" s="30" t="s">
        <v>209</v>
      </c>
      <c r="B69" t="s">
        <v>210</v>
      </c>
      <c r="C69" s="31">
        <v>0</v>
      </c>
      <c r="D69" s="31">
        <v>105</v>
      </c>
      <c r="E69" s="31">
        <v>35</v>
      </c>
      <c r="F69" s="31">
        <v>112.5</v>
      </c>
    </row>
    <row r="70" spans="1:6" x14ac:dyDescent="0.3">
      <c r="A70" s="30" t="s">
        <v>211</v>
      </c>
      <c r="B70" t="s">
        <v>194</v>
      </c>
      <c r="C70" s="31">
        <v>0</v>
      </c>
      <c r="D70" s="31">
        <v>98</v>
      </c>
      <c r="E70" s="31">
        <v>23.8</v>
      </c>
      <c r="F70" s="31">
        <v>110.4</v>
      </c>
    </row>
    <row r="71" spans="1:6" x14ac:dyDescent="0.3">
      <c r="A71" s="30" t="s">
        <v>211</v>
      </c>
      <c r="B71" t="s">
        <v>162</v>
      </c>
      <c r="C71" s="31">
        <v>0</v>
      </c>
      <c r="D71" s="31">
        <v>96.5</v>
      </c>
      <c r="E71" s="31">
        <v>0</v>
      </c>
      <c r="F71" s="31">
        <v>110.4</v>
      </c>
    </row>
    <row r="72" spans="1:6" x14ac:dyDescent="0.3">
      <c r="A72" s="30" t="s">
        <v>211</v>
      </c>
      <c r="B72" t="s">
        <v>212</v>
      </c>
      <c r="C72" s="31">
        <v>0</v>
      </c>
      <c r="D72" s="31">
        <v>92</v>
      </c>
      <c r="E72" s="31">
        <v>0</v>
      </c>
      <c r="F72" s="31">
        <v>100</v>
      </c>
    </row>
    <row r="73" spans="1:6" x14ac:dyDescent="0.3">
      <c r="A73" s="30" t="s">
        <v>211</v>
      </c>
      <c r="B73" t="s">
        <v>213</v>
      </c>
      <c r="C73" s="31">
        <v>0</v>
      </c>
      <c r="D73" s="31">
        <v>92</v>
      </c>
      <c r="E73" s="31">
        <v>0</v>
      </c>
      <c r="F73" s="31">
        <v>99.75</v>
      </c>
    </row>
    <row r="74" spans="1:6" x14ac:dyDescent="0.3">
      <c r="A74" s="30" t="s">
        <v>211</v>
      </c>
      <c r="B74" t="s">
        <v>196</v>
      </c>
      <c r="C74" s="31">
        <v>0</v>
      </c>
      <c r="D74" s="31">
        <v>87.75</v>
      </c>
      <c r="E74" s="31">
        <v>0</v>
      </c>
      <c r="F74" s="31">
        <v>96.5</v>
      </c>
    </row>
    <row r="75" spans="1:6" x14ac:dyDescent="0.3">
      <c r="A75" s="30" t="s">
        <v>211</v>
      </c>
      <c r="B75" t="s">
        <v>214</v>
      </c>
      <c r="C75" s="31">
        <v>0</v>
      </c>
      <c r="D75" s="31">
        <v>82.51</v>
      </c>
      <c r="E75" s="31">
        <v>0</v>
      </c>
      <c r="F75" s="31">
        <v>85.4</v>
      </c>
    </row>
    <row r="76" spans="1:6" x14ac:dyDescent="0.3">
      <c r="A76" s="30" t="s">
        <v>211</v>
      </c>
      <c r="B76" t="s">
        <v>215</v>
      </c>
      <c r="C76" s="31">
        <v>0</v>
      </c>
      <c r="D76" s="31">
        <v>78</v>
      </c>
      <c r="E76" s="31">
        <v>0</v>
      </c>
      <c r="F76" s="31">
        <v>76.5</v>
      </c>
    </row>
    <row r="77" spans="1:6" x14ac:dyDescent="0.3">
      <c r="A77" s="30" t="s">
        <v>211</v>
      </c>
      <c r="B77" t="s">
        <v>216</v>
      </c>
      <c r="C77" s="31">
        <v>0</v>
      </c>
      <c r="D77" s="31">
        <v>54</v>
      </c>
      <c r="E77" s="31">
        <v>0</v>
      </c>
      <c r="F77" s="31">
        <v>60</v>
      </c>
    </row>
    <row r="78" spans="1:6" x14ac:dyDescent="0.3">
      <c r="A78" s="30" t="s">
        <v>211</v>
      </c>
      <c r="B78" t="s">
        <v>170</v>
      </c>
      <c r="C78" s="31">
        <v>0</v>
      </c>
      <c r="D78" s="31">
        <v>54</v>
      </c>
      <c r="E78" s="31">
        <v>0</v>
      </c>
      <c r="F78" s="31">
        <v>56</v>
      </c>
    </row>
    <row r="79" spans="1:6" x14ac:dyDescent="0.3">
      <c r="A79" s="30" t="s">
        <v>211</v>
      </c>
      <c r="B79" t="s">
        <v>201</v>
      </c>
      <c r="C79" s="31">
        <v>0</v>
      </c>
      <c r="D79" s="31">
        <v>52.11</v>
      </c>
      <c r="E79" s="31">
        <v>0</v>
      </c>
      <c r="F79" s="31">
        <v>55.2</v>
      </c>
    </row>
    <row r="80" spans="1:6" x14ac:dyDescent="0.3">
      <c r="A80" s="30" t="s">
        <v>211</v>
      </c>
      <c r="B80" t="s">
        <v>202</v>
      </c>
      <c r="C80" s="31">
        <v>0</v>
      </c>
      <c r="D80" s="31">
        <v>42</v>
      </c>
      <c r="E80" s="31">
        <v>0</v>
      </c>
      <c r="F80" s="31">
        <v>50</v>
      </c>
    </row>
    <row r="81" spans="1:6" x14ac:dyDescent="0.3">
      <c r="A81" s="30" t="s">
        <v>211</v>
      </c>
      <c r="B81" t="s">
        <v>217</v>
      </c>
      <c r="C81" s="31">
        <v>0</v>
      </c>
      <c r="D81" s="31">
        <v>36.799999999999997</v>
      </c>
      <c r="E81" s="31">
        <v>0</v>
      </c>
      <c r="F81" s="31">
        <v>50</v>
      </c>
    </row>
    <row r="82" spans="1:6" x14ac:dyDescent="0.3">
      <c r="A82" s="30" t="s">
        <v>211</v>
      </c>
      <c r="B82" t="s">
        <v>178</v>
      </c>
      <c r="C82" s="31">
        <v>0</v>
      </c>
      <c r="D82" s="31">
        <v>34.799999999999997</v>
      </c>
      <c r="E82" s="31">
        <v>0</v>
      </c>
      <c r="F82" s="31">
        <v>48.3</v>
      </c>
    </row>
    <row r="83" spans="1:6" x14ac:dyDescent="0.3">
      <c r="A83" s="30" t="s">
        <v>211</v>
      </c>
      <c r="B83" t="s">
        <v>218</v>
      </c>
      <c r="C83" s="31">
        <v>0</v>
      </c>
      <c r="D83" s="31">
        <v>0</v>
      </c>
      <c r="E83" s="31">
        <v>0</v>
      </c>
      <c r="F83" s="31">
        <v>46</v>
      </c>
    </row>
    <row r="84" spans="1:6" x14ac:dyDescent="0.3">
      <c r="A84" s="30" t="s">
        <v>219</v>
      </c>
      <c r="B84" t="s">
        <v>194</v>
      </c>
      <c r="C84" s="31">
        <v>0</v>
      </c>
      <c r="D84" s="31">
        <v>0</v>
      </c>
      <c r="E84" s="31">
        <v>0</v>
      </c>
      <c r="F84" s="31">
        <v>42.1</v>
      </c>
    </row>
    <row r="85" spans="1:6" x14ac:dyDescent="0.3">
      <c r="A85" s="30" t="s">
        <v>219</v>
      </c>
      <c r="B85" t="s">
        <v>212</v>
      </c>
      <c r="C85" s="31">
        <v>0</v>
      </c>
      <c r="D85" s="31">
        <v>0</v>
      </c>
      <c r="E85" s="31">
        <v>0</v>
      </c>
      <c r="F85" s="31">
        <v>42</v>
      </c>
    </row>
    <row r="86" spans="1:6" x14ac:dyDescent="0.3">
      <c r="A86" s="30" t="s">
        <v>219</v>
      </c>
      <c r="B86" t="s">
        <v>180</v>
      </c>
      <c r="C86" s="31">
        <v>0</v>
      </c>
      <c r="D86" s="31">
        <v>0</v>
      </c>
      <c r="E86" s="31">
        <v>0</v>
      </c>
      <c r="F86" s="31">
        <v>35.619999999999997</v>
      </c>
    </row>
    <row r="87" spans="1:6" x14ac:dyDescent="0.3">
      <c r="A87" s="30" t="s">
        <v>219</v>
      </c>
      <c r="B87" t="s">
        <v>220</v>
      </c>
      <c r="C87" s="31">
        <v>0</v>
      </c>
      <c r="D87" s="31">
        <v>0</v>
      </c>
      <c r="E87" s="31">
        <v>0</v>
      </c>
      <c r="F87" s="31">
        <v>28</v>
      </c>
    </row>
    <row r="88" spans="1:6" x14ac:dyDescent="0.3">
      <c r="A88" s="30" t="s">
        <v>219</v>
      </c>
      <c r="B88" t="s">
        <v>165</v>
      </c>
      <c r="C88" s="31">
        <v>0</v>
      </c>
      <c r="D88" s="31">
        <v>0</v>
      </c>
      <c r="E88" s="31">
        <v>0</v>
      </c>
      <c r="F88" s="31">
        <v>18.75</v>
      </c>
    </row>
    <row r="89" spans="1:6" x14ac:dyDescent="0.3">
      <c r="A89" s="30" t="s">
        <v>219</v>
      </c>
      <c r="B89" t="s">
        <v>207</v>
      </c>
      <c r="C89" s="31">
        <v>0</v>
      </c>
      <c r="D89" s="31">
        <v>0</v>
      </c>
      <c r="E89" s="31">
        <v>0</v>
      </c>
      <c r="F89" s="31">
        <v>18.399999999999999</v>
      </c>
    </row>
    <row r="90" spans="1:6" x14ac:dyDescent="0.3">
      <c r="A90" s="30" t="s">
        <v>219</v>
      </c>
      <c r="B90" t="s">
        <v>199</v>
      </c>
      <c r="C90" s="31">
        <v>0</v>
      </c>
      <c r="D90" s="31">
        <v>0</v>
      </c>
      <c r="E90" s="31">
        <v>0</v>
      </c>
      <c r="F90" s="31">
        <v>12.5</v>
      </c>
    </row>
    <row r="91" spans="1:6" x14ac:dyDescent="0.3">
      <c r="A91" s="30" t="s">
        <v>219</v>
      </c>
      <c r="B91" t="s">
        <v>221</v>
      </c>
      <c r="C91" s="31">
        <v>0</v>
      </c>
      <c r="D91" s="31">
        <v>0</v>
      </c>
      <c r="E91" s="31">
        <v>0</v>
      </c>
      <c r="F91" s="31">
        <v>0</v>
      </c>
    </row>
    <row r="92" spans="1:6" x14ac:dyDescent="0.3">
      <c r="A92" s="30" t="s">
        <v>219</v>
      </c>
      <c r="B92" t="s">
        <v>183</v>
      </c>
      <c r="C92" s="31">
        <v>0</v>
      </c>
      <c r="D92" s="31">
        <v>0</v>
      </c>
      <c r="E92" s="31">
        <v>0</v>
      </c>
      <c r="F92" s="31">
        <v>0</v>
      </c>
    </row>
    <row r="93" spans="1:6" x14ac:dyDescent="0.3">
      <c r="A93" s="30" t="s">
        <v>219</v>
      </c>
      <c r="B93" t="s">
        <v>222</v>
      </c>
      <c r="C93" s="31">
        <v>0</v>
      </c>
      <c r="D93" s="31">
        <v>0</v>
      </c>
      <c r="E93" s="31">
        <v>0</v>
      </c>
      <c r="F93" s="31">
        <v>0</v>
      </c>
    </row>
    <row r="94" spans="1:6" x14ac:dyDescent="0.3">
      <c r="A94" s="30" t="s">
        <v>219</v>
      </c>
      <c r="B94" t="s">
        <v>185</v>
      </c>
      <c r="C94" s="31">
        <v>0</v>
      </c>
      <c r="D94" s="31">
        <v>0</v>
      </c>
      <c r="E94" s="31">
        <v>0</v>
      </c>
      <c r="F94" s="31">
        <v>0</v>
      </c>
    </row>
    <row r="95" spans="1:6" x14ac:dyDescent="0.3">
      <c r="A95" s="30" t="s">
        <v>219</v>
      </c>
      <c r="B95" t="s">
        <v>216</v>
      </c>
      <c r="C95" s="31">
        <v>0</v>
      </c>
      <c r="D95" s="31">
        <v>0</v>
      </c>
      <c r="E95" s="31">
        <v>0</v>
      </c>
      <c r="F95" s="31">
        <v>0</v>
      </c>
    </row>
    <row r="96" spans="1:6" x14ac:dyDescent="0.3">
      <c r="A96" s="30" t="s">
        <v>219</v>
      </c>
      <c r="B96" t="s">
        <v>168</v>
      </c>
      <c r="C96" s="31">
        <v>0</v>
      </c>
      <c r="D96" s="31">
        <v>0</v>
      </c>
      <c r="E96" s="31">
        <v>0</v>
      </c>
      <c r="F96" s="31">
        <v>0</v>
      </c>
    </row>
    <row r="97" spans="1:6" x14ac:dyDescent="0.3">
      <c r="A97" s="30" t="s">
        <v>219</v>
      </c>
      <c r="B97" t="s">
        <v>189</v>
      </c>
      <c r="C97" s="31">
        <v>0</v>
      </c>
      <c r="D97" s="31">
        <v>0</v>
      </c>
      <c r="E97" s="31">
        <v>0</v>
      </c>
      <c r="F97" s="31">
        <v>0</v>
      </c>
    </row>
    <row r="98" spans="1:6" x14ac:dyDescent="0.3">
      <c r="A98" s="30" t="s">
        <v>219</v>
      </c>
      <c r="B98" t="s">
        <v>177</v>
      </c>
      <c r="C98" s="31">
        <v>0</v>
      </c>
      <c r="D98" s="31">
        <v>0</v>
      </c>
      <c r="E98" s="31">
        <v>0</v>
      </c>
      <c r="F98" s="31">
        <v>0</v>
      </c>
    </row>
    <row r="99" spans="1:6" x14ac:dyDescent="0.3">
      <c r="A99" s="30" t="s">
        <v>219</v>
      </c>
      <c r="B99" t="s">
        <v>169</v>
      </c>
      <c r="C99" s="31">
        <v>0</v>
      </c>
      <c r="D99" s="31">
        <v>0</v>
      </c>
      <c r="E99" s="31">
        <v>0</v>
      </c>
      <c r="F99" s="31">
        <v>0</v>
      </c>
    </row>
    <row r="100" spans="1:6" x14ac:dyDescent="0.3">
      <c r="A100" s="30" t="s">
        <v>219</v>
      </c>
      <c r="B100" t="s">
        <v>202</v>
      </c>
      <c r="C100" s="31">
        <v>0</v>
      </c>
      <c r="D100" s="31">
        <v>0</v>
      </c>
      <c r="E100" s="31">
        <v>0</v>
      </c>
      <c r="F100" s="31">
        <v>0</v>
      </c>
    </row>
    <row r="101" spans="1:6" x14ac:dyDescent="0.3">
      <c r="A101" s="30" t="s">
        <v>219</v>
      </c>
      <c r="B101" t="s">
        <v>171</v>
      </c>
      <c r="C101" s="31">
        <v>0</v>
      </c>
      <c r="D101" s="31">
        <v>0</v>
      </c>
      <c r="E101" s="31">
        <v>0</v>
      </c>
      <c r="F101" s="31">
        <v>0</v>
      </c>
    </row>
    <row r="102" spans="1:6" x14ac:dyDescent="0.3">
      <c r="A102" s="30" t="s">
        <v>219</v>
      </c>
      <c r="B102" t="s">
        <v>223</v>
      </c>
      <c r="C102" s="31">
        <v>0</v>
      </c>
      <c r="D102" s="31">
        <v>0</v>
      </c>
      <c r="E102" s="31">
        <v>0</v>
      </c>
      <c r="F102" s="31">
        <v>0</v>
      </c>
    </row>
    <row r="103" spans="1:6" x14ac:dyDescent="0.3">
      <c r="A103" s="30" t="s">
        <v>219</v>
      </c>
      <c r="B103" t="s">
        <v>217</v>
      </c>
      <c r="C103" s="31">
        <v>0</v>
      </c>
      <c r="D103" s="31">
        <v>0</v>
      </c>
      <c r="E103" s="31">
        <v>0</v>
      </c>
      <c r="F103" s="31">
        <v>0</v>
      </c>
    </row>
    <row r="104" spans="1:6" x14ac:dyDescent="0.3">
      <c r="A104" s="30" t="s">
        <v>219</v>
      </c>
      <c r="B104" t="s">
        <v>224</v>
      </c>
      <c r="C104" s="31">
        <v>0</v>
      </c>
      <c r="D104" s="31">
        <v>0</v>
      </c>
      <c r="E104" s="31">
        <v>0</v>
      </c>
      <c r="F104" s="31">
        <v>0</v>
      </c>
    </row>
    <row r="105" spans="1:6" x14ac:dyDescent="0.3">
      <c r="A105" s="30" t="s">
        <v>219</v>
      </c>
      <c r="B105" t="s">
        <v>208</v>
      </c>
      <c r="C105" s="31">
        <v>0</v>
      </c>
      <c r="D105" s="31">
        <v>0</v>
      </c>
      <c r="E105" s="31">
        <v>0</v>
      </c>
      <c r="F105" s="31">
        <v>0</v>
      </c>
    </row>
    <row r="106" spans="1:6" x14ac:dyDescent="0.3">
      <c r="A106" s="30" t="s">
        <v>219</v>
      </c>
      <c r="B106" t="s">
        <v>225</v>
      </c>
      <c r="C106" s="31">
        <v>0</v>
      </c>
      <c r="D106" s="31">
        <v>0</v>
      </c>
      <c r="E106" s="31">
        <v>0</v>
      </c>
      <c r="F106" s="31">
        <v>0</v>
      </c>
    </row>
    <row r="107" spans="1:6" x14ac:dyDescent="0.3">
      <c r="A107" s="30" t="s">
        <v>219</v>
      </c>
      <c r="B107" t="s">
        <v>203</v>
      </c>
      <c r="C107" s="31">
        <v>0</v>
      </c>
      <c r="D107" s="31">
        <v>0</v>
      </c>
      <c r="E107" s="31">
        <v>0</v>
      </c>
      <c r="F107" s="31">
        <v>0</v>
      </c>
    </row>
    <row r="108" spans="1:6" ht="28.8" x14ac:dyDescent="0.3">
      <c r="A108" s="30" t="s">
        <v>226</v>
      </c>
      <c r="B108" t="s">
        <v>199</v>
      </c>
      <c r="C108" s="31">
        <v>0</v>
      </c>
      <c r="D108" s="31">
        <v>0</v>
      </c>
      <c r="E108" s="31">
        <v>0</v>
      </c>
      <c r="F108" s="31">
        <v>0</v>
      </c>
    </row>
    <row r="109" spans="1:6" ht="28.8" x14ac:dyDescent="0.3">
      <c r="A109" s="30" t="s">
        <v>226</v>
      </c>
      <c r="B109" t="s">
        <v>200</v>
      </c>
      <c r="C109" s="31">
        <v>0</v>
      </c>
      <c r="D109" s="31">
        <v>0</v>
      </c>
      <c r="E109" s="31">
        <v>0</v>
      </c>
      <c r="F109" s="31">
        <v>0</v>
      </c>
    </row>
    <row r="110" spans="1:6" x14ac:dyDescent="0.3">
      <c r="A110" s="30" t="s">
        <v>227</v>
      </c>
      <c r="B110" t="s">
        <v>161</v>
      </c>
      <c r="C110" s="31">
        <v>0</v>
      </c>
      <c r="D110" s="31">
        <v>0</v>
      </c>
      <c r="E110" s="31">
        <v>0</v>
      </c>
      <c r="F110" s="31">
        <v>0</v>
      </c>
    </row>
    <row r="111" spans="1:6" x14ac:dyDescent="0.3">
      <c r="A111" s="30" t="s">
        <v>227</v>
      </c>
      <c r="B111" t="s">
        <v>162</v>
      </c>
      <c r="C111" s="31">
        <v>0</v>
      </c>
      <c r="D111" s="31">
        <v>0</v>
      </c>
      <c r="E111" s="31">
        <v>0</v>
      </c>
      <c r="F111" s="31">
        <v>0</v>
      </c>
    </row>
    <row r="112" spans="1:6" x14ac:dyDescent="0.3">
      <c r="A112" s="30" t="s">
        <v>227</v>
      </c>
      <c r="B112" t="s">
        <v>198</v>
      </c>
      <c r="C112" s="31">
        <v>0</v>
      </c>
      <c r="D112" s="31">
        <v>0</v>
      </c>
      <c r="E112" s="31">
        <v>0</v>
      </c>
      <c r="F112" s="31">
        <v>0</v>
      </c>
    </row>
    <row r="113" spans="1:6" x14ac:dyDescent="0.3">
      <c r="A113" s="30" t="s">
        <v>227</v>
      </c>
      <c r="B113" t="s">
        <v>228</v>
      </c>
      <c r="C113" s="31">
        <v>0</v>
      </c>
      <c r="D113" s="31">
        <v>0</v>
      </c>
      <c r="E113" s="31">
        <v>0</v>
      </c>
      <c r="F113" s="31">
        <v>0</v>
      </c>
    </row>
    <row r="114" spans="1:6" x14ac:dyDescent="0.3">
      <c r="A114" s="30" t="s">
        <v>227</v>
      </c>
      <c r="B114" t="s">
        <v>229</v>
      </c>
      <c r="C114" s="31">
        <v>0</v>
      </c>
      <c r="D114" s="31">
        <v>0</v>
      </c>
      <c r="E114" s="31">
        <v>0</v>
      </c>
      <c r="F114" s="31">
        <v>0</v>
      </c>
    </row>
    <row r="115" spans="1:6" x14ac:dyDescent="0.3">
      <c r="A115" s="30" t="s">
        <v>227</v>
      </c>
      <c r="B115" t="s">
        <v>216</v>
      </c>
      <c r="C115" s="31">
        <v>0</v>
      </c>
      <c r="D115" s="31">
        <v>0</v>
      </c>
      <c r="E115" s="31">
        <v>0</v>
      </c>
      <c r="F115" s="31">
        <v>0</v>
      </c>
    </row>
    <row r="116" spans="1:6" x14ac:dyDescent="0.3">
      <c r="A116" s="30" t="s">
        <v>227</v>
      </c>
      <c r="B116" t="s">
        <v>168</v>
      </c>
      <c r="C116" s="31">
        <v>0</v>
      </c>
      <c r="D116" s="31">
        <v>0</v>
      </c>
      <c r="E116" s="31">
        <v>0</v>
      </c>
      <c r="F116" s="31">
        <v>0</v>
      </c>
    </row>
    <row r="117" spans="1:6" x14ac:dyDescent="0.3">
      <c r="A117" s="30" t="s">
        <v>227</v>
      </c>
      <c r="B117" t="s">
        <v>177</v>
      </c>
      <c r="C117" s="31">
        <v>0</v>
      </c>
      <c r="D117" s="31">
        <v>0</v>
      </c>
      <c r="E117" s="31">
        <v>0</v>
      </c>
      <c r="F117" s="31">
        <v>0</v>
      </c>
    </row>
    <row r="118" spans="1:6" x14ac:dyDescent="0.3">
      <c r="A118" s="30" t="s">
        <v>227</v>
      </c>
      <c r="B118" t="s">
        <v>223</v>
      </c>
      <c r="C118" s="31">
        <v>0</v>
      </c>
      <c r="D118" s="31">
        <v>0</v>
      </c>
      <c r="E118" s="31">
        <v>0</v>
      </c>
      <c r="F118" s="31">
        <v>0</v>
      </c>
    </row>
    <row r="119" spans="1:6" x14ac:dyDescent="0.3">
      <c r="A119" s="30" t="s">
        <v>227</v>
      </c>
      <c r="B119" t="s">
        <v>230</v>
      </c>
      <c r="C119" s="31">
        <v>0</v>
      </c>
      <c r="D119" s="31">
        <v>0</v>
      </c>
      <c r="E119" s="31">
        <v>0</v>
      </c>
      <c r="F119" s="31">
        <v>0</v>
      </c>
    </row>
    <row r="120" spans="1:6" x14ac:dyDescent="0.3">
      <c r="A120" s="30" t="s">
        <v>227</v>
      </c>
      <c r="B120" t="s">
        <v>231</v>
      </c>
      <c r="C120" s="31">
        <v>0</v>
      </c>
      <c r="D120" s="31">
        <v>0</v>
      </c>
      <c r="E120" s="31">
        <v>0</v>
      </c>
      <c r="F120" s="31">
        <v>0</v>
      </c>
    </row>
    <row r="121" spans="1:6" ht="28.8" x14ac:dyDescent="0.3">
      <c r="A121" s="30" t="s">
        <v>232</v>
      </c>
      <c r="B121" t="s">
        <v>194</v>
      </c>
      <c r="C121" s="31">
        <v>0</v>
      </c>
      <c r="D121" s="31">
        <v>0</v>
      </c>
      <c r="E121" s="31">
        <v>0</v>
      </c>
      <c r="F121" s="31">
        <v>0</v>
      </c>
    </row>
    <row r="122" spans="1:6" ht="28.8" x14ac:dyDescent="0.3">
      <c r="A122" s="30" t="s">
        <v>232</v>
      </c>
      <c r="B122" t="s">
        <v>162</v>
      </c>
      <c r="C122" s="31">
        <v>0</v>
      </c>
      <c r="D122" s="31">
        <v>0</v>
      </c>
      <c r="E122" s="31">
        <v>0</v>
      </c>
      <c r="F122" s="31">
        <v>0</v>
      </c>
    </row>
    <row r="123" spans="1:6" ht="28.8" x14ac:dyDescent="0.3">
      <c r="A123" s="30" t="s">
        <v>232</v>
      </c>
      <c r="B123" t="s">
        <v>212</v>
      </c>
      <c r="C123" s="31">
        <v>0</v>
      </c>
      <c r="D123" s="31">
        <v>0</v>
      </c>
      <c r="E123" s="31">
        <v>0</v>
      </c>
      <c r="F123" s="31">
        <v>0</v>
      </c>
    </row>
    <row r="124" spans="1:6" ht="28.8" x14ac:dyDescent="0.3">
      <c r="A124" s="30" t="s">
        <v>232</v>
      </c>
      <c r="B124" t="s">
        <v>164</v>
      </c>
      <c r="C124" s="31">
        <v>0</v>
      </c>
      <c r="D124" s="31">
        <v>0</v>
      </c>
      <c r="E124" s="31">
        <v>0</v>
      </c>
      <c r="F124" s="31">
        <v>0</v>
      </c>
    </row>
    <row r="125" spans="1:6" ht="28.8" x14ac:dyDescent="0.3">
      <c r="A125" s="30" t="s">
        <v>232</v>
      </c>
      <c r="B125" t="s">
        <v>220</v>
      </c>
      <c r="C125" s="31">
        <v>0</v>
      </c>
      <c r="D125" s="31">
        <v>0</v>
      </c>
      <c r="E125" s="31">
        <v>0</v>
      </c>
      <c r="F125" s="31">
        <v>0</v>
      </c>
    </row>
    <row r="126" spans="1:6" ht="28.8" x14ac:dyDescent="0.3">
      <c r="A126" s="30" t="s">
        <v>232</v>
      </c>
      <c r="B126" t="s">
        <v>196</v>
      </c>
      <c r="C126" s="31">
        <v>0</v>
      </c>
      <c r="D126" s="31">
        <v>0</v>
      </c>
      <c r="E126" s="31">
        <v>0</v>
      </c>
      <c r="F126" s="31">
        <v>0</v>
      </c>
    </row>
    <row r="127" spans="1:6" ht="28.8" x14ac:dyDescent="0.3">
      <c r="A127" s="30" t="s">
        <v>232</v>
      </c>
      <c r="B127" t="s">
        <v>197</v>
      </c>
      <c r="C127" s="31">
        <v>0</v>
      </c>
      <c r="D127" s="31">
        <v>0</v>
      </c>
      <c r="E127" s="31">
        <v>0</v>
      </c>
      <c r="F127" s="31">
        <v>0</v>
      </c>
    </row>
    <row r="128" spans="1:6" ht="28.8" x14ac:dyDescent="0.3">
      <c r="A128" s="30" t="s">
        <v>232</v>
      </c>
      <c r="B128" t="s">
        <v>199</v>
      </c>
      <c r="C128" s="31">
        <v>0</v>
      </c>
      <c r="D128" s="31">
        <v>0</v>
      </c>
      <c r="E128" s="31">
        <v>0</v>
      </c>
      <c r="F128" s="31">
        <v>0</v>
      </c>
    </row>
    <row r="129" spans="1:6" ht="28.8" x14ac:dyDescent="0.3">
      <c r="A129" s="30" t="s">
        <v>232</v>
      </c>
      <c r="B129" t="s">
        <v>222</v>
      </c>
      <c r="C129" s="31">
        <v>0</v>
      </c>
      <c r="D129" s="31">
        <v>0</v>
      </c>
      <c r="E129" s="31">
        <v>0</v>
      </c>
      <c r="F129" s="31">
        <v>0</v>
      </c>
    </row>
    <row r="130" spans="1:6" ht="28.8" x14ac:dyDescent="0.3">
      <c r="A130" s="30" t="s">
        <v>232</v>
      </c>
      <c r="B130" t="s">
        <v>214</v>
      </c>
      <c r="C130" s="31">
        <v>0</v>
      </c>
      <c r="D130" s="31">
        <v>0</v>
      </c>
      <c r="E130" s="31">
        <v>0</v>
      </c>
      <c r="F130" s="31">
        <v>0</v>
      </c>
    </row>
    <row r="131" spans="1:6" ht="28.8" x14ac:dyDescent="0.3">
      <c r="A131" s="30" t="s">
        <v>232</v>
      </c>
      <c r="B131" t="s">
        <v>187</v>
      </c>
      <c r="C131" s="31">
        <v>0</v>
      </c>
      <c r="D131" s="31">
        <v>0</v>
      </c>
      <c r="E131" s="31">
        <v>0</v>
      </c>
      <c r="F131" s="31">
        <v>0</v>
      </c>
    </row>
    <row r="132" spans="1:6" ht="28.8" x14ac:dyDescent="0.3">
      <c r="A132" s="30" t="s">
        <v>232</v>
      </c>
      <c r="B132" t="s">
        <v>168</v>
      </c>
      <c r="C132" s="31">
        <v>0</v>
      </c>
      <c r="D132" s="31">
        <v>0</v>
      </c>
      <c r="E132" s="31">
        <v>0</v>
      </c>
      <c r="F132" s="31">
        <v>0</v>
      </c>
    </row>
    <row r="133" spans="1:6" ht="28.8" x14ac:dyDescent="0.3">
      <c r="A133" s="30" t="s">
        <v>232</v>
      </c>
      <c r="B133" t="s">
        <v>170</v>
      </c>
      <c r="C133" s="31">
        <v>0</v>
      </c>
      <c r="D133" s="31">
        <v>0</v>
      </c>
      <c r="E133" s="31">
        <v>0</v>
      </c>
      <c r="F133" s="31">
        <v>0</v>
      </c>
    </row>
    <row r="134" spans="1:6" ht="28.8" x14ac:dyDescent="0.3">
      <c r="A134" s="30" t="s">
        <v>232</v>
      </c>
      <c r="B134" t="s">
        <v>171</v>
      </c>
      <c r="C134" s="31">
        <v>0</v>
      </c>
      <c r="D134" s="31">
        <v>0</v>
      </c>
      <c r="E134" s="31">
        <v>0</v>
      </c>
      <c r="F134" s="31">
        <v>0</v>
      </c>
    </row>
    <row r="135" spans="1:6" ht="28.8" x14ac:dyDescent="0.3">
      <c r="A135" s="30" t="s">
        <v>232</v>
      </c>
      <c r="B135" t="s">
        <v>172</v>
      </c>
      <c r="C135" s="31">
        <v>0</v>
      </c>
      <c r="D135" s="31">
        <v>0</v>
      </c>
      <c r="E135" s="31">
        <v>0</v>
      </c>
      <c r="F135" s="31">
        <v>0</v>
      </c>
    </row>
    <row r="136" spans="1:6" ht="28.8" x14ac:dyDescent="0.3">
      <c r="A136" s="30" t="s">
        <v>232</v>
      </c>
      <c r="B136" t="s">
        <v>217</v>
      </c>
      <c r="C136" s="31">
        <v>0</v>
      </c>
      <c r="D136" s="31">
        <v>0</v>
      </c>
      <c r="E136" s="31">
        <v>0</v>
      </c>
      <c r="F136" s="31">
        <v>0</v>
      </c>
    </row>
    <row r="137" spans="1:6" ht="28.8" x14ac:dyDescent="0.3">
      <c r="A137" s="30" t="s">
        <v>232</v>
      </c>
      <c r="B137" t="s">
        <v>178</v>
      </c>
      <c r="C137" s="31">
        <v>0</v>
      </c>
      <c r="D137" s="31">
        <v>0</v>
      </c>
      <c r="E137" s="31">
        <v>0</v>
      </c>
      <c r="F137" s="31">
        <v>0</v>
      </c>
    </row>
    <row r="138" spans="1:6" ht="28.8" x14ac:dyDescent="0.3">
      <c r="A138" s="30" t="s">
        <v>232</v>
      </c>
      <c r="B138" t="s">
        <v>218</v>
      </c>
      <c r="C138" s="31">
        <v>0</v>
      </c>
      <c r="D138" s="31">
        <v>0</v>
      </c>
      <c r="E138" s="31">
        <v>0</v>
      </c>
      <c r="F138" s="31">
        <v>0</v>
      </c>
    </row>
    <row r="139" spans="1:6" ht="28.8" x14ac:dyDescent="0.3">
      <c r="A139" s="30" t="s">
        <v>233</v>
      </c>
      <c r="B139" t="s">
        <v>197</v>
      </c>
      <c r="C139" s="31">
        <v>0</v>
      </c>
      <c r="D139" s="31">
        <v>0</v>
      </c>
      <c r="E139" s="31">
        <v>0</v>
      </c>
      <c r="F139" s="31">
        <v>0</v>
      </c>
    </row>
    <row r="140" spans="1:6" ht="28.8" x14ac:dyDescent="0.3">
      <c r="A140" s="30" t="s">
        <v>233</v>
      </c>
      <c r="B140" t="s">
        <v>234</v>
      </c>
      <c r="C140" s="31">
        <v>0</v>
      </c>
      <c r="D140" s="31">
        <v>0</v>
      </c>
      <c r="E140" s="31">
        <v>0</v>
      </c>
      <c r="F140" s="31">
        <v>0</v>
      </c>
    </row>
    <row r="141" spans="1:6" ht="28.8" x14ac:dyDescent="0.3">
      <c r="A141" s="30" t="s">
        <v>233</v>
      </c>
      <c r="B141" t="s">
        <v>188</v>
      </c>
      <c r="C141" s="31">
        <v>0</v>
      </c>
      <c r="D141" s="31">
        <v>0</v>
      </c>
      <c r="E141" s="31">
        <v>0</v>
      </c>
      <c r="F141" s="31">
        <v>0</v>
      </c>
    </row>
    <row r="142" spans="1:6" ht="28.8" x14ac:dyDescent="0.3">
      <c r="A142" s="30" t="s">
        <v>233</v>
      </c>
      <c r="B142" t="s">
        <v>235</v>
      </c>
      <c r="C142" s="31">
        <v>0</v>
      </c>
      <c r="D142" s="31">
        <v>0</v>
      </c>
      <c r="E142" s="31">
        <v>0</v>
      </c>
      <c r="F142" s="31">
        <v>0</v>
      </c>
    </row>
    <row r="143" spans="1:6" x14ac:dyDescent="0.3">
      <c r="A143" s="30" t="s">
        <v>236</v>
      </c>
      <c r="B143" t="s">
        <v>182</v>
      </c>
      <c r="C143" s="31">
        <v>0</v>
      </c>
      <c r="D143" s="31">
        <v>0</v>
      </c>
      <c r="E143" s="31">
        <v>0</v>
      </c>
      <c r="F143" s="31">
        <v>0</v>
      </c>
    </row>
    <row r="144" spans="1:6" x14ac:dyDescent="0.3">
      <c r="A144" s="30" t="s">
        <v>236</v>
      </c>
      <c r="B144" t="s">
        <v>183</v>
      </c>
      <c r="C144" s="31">
        <v>0</v>
      </c>
      <c r="D144" s="31">
        <v>0</v>
      </c>
      <c r="E144" s="31">
        <v>0</v>
      </c>
      <c r="F144" s="31">
        <v>0</v>
      </c>
    </row>
    <row r="145" spans="1:6" x14ac:dyDescent="0.3">
      <c r="A145" s="30" t="s">
        <v>236</v>
      </c>
      <c r="B145" t="s">
        <v>200</v>
      </c>
      <c r="C145" s="31">
        <v>0</v>
      </c>
      <c r="D145" s="31">
        <v>0</v>
      </c>
      <c r="E145" s="31">
        <v>0</v>
      </c>
      <c r="F145" s="31">
        <v>0</v>
      </c>
    </row>
    <row r="146" spans="1:6" x14ac:dyDescent="0.3">
      <c r="A146" s="30" t="s">
        <v>236</v>
      </c>
      <c r="B146" t="s">
        <v>177</v>
      </c>
      <c r="C146" s="31">
        <v>0</v>
      </c>
      <c r="D146" s="31">
        <v>0</v>
      </c>
      <c r="E146" s="31">
        <v>0</v>
      </c>
      <c r="F146" s="31">
        <v>0</v>
      </c>
    </row>
    <row r="147" spans="1:6" x14ac:dyDescent="0.3">
      <c r="A147" s="30" t="s">
        <v>236</v>
      </c>
      <c r="B147" t="s">
        <v>237</v>
      </c>
      <c r="C147" s="31">
        <v>0</v>
      </c>
      <c r="D147" s="31">
        <v>0</v>
      </c>
      <c r="E147" s="31">
        <v>0</v>
      </c>
      <c r="F147" s="31">
        <v>0</v>
      </c>
    </row>
    <row r="148" spans="1:6" x14ac:dyDescent="0.3">
      <c r="A148" s="30" t="s">
        <v>236</v>
      </c>
      <c r="B148" t="s">
        <v>203</v>
      </c>
      <c r="C148" s="31">
        <v>0</v>
      </c>
      <c r="D148" s="31">
        <v>0</v>
      </c>
      <c r="E148" s="31">
        <v>0</v>
      </c>
      <c r="F148" s="31">
        <v>0</v>
      </c>
    </row>
    <row r="149" spans="1:6" ht="28.8" x14ac:dyDescent="0.3">
      <c r="A149" s="30" t="s">
        <v>238</v>
      </c>
      <c r="B149" t="s">
        <v>180</v>
      </c>
      <c r="C149" s="31">
        <v>0</v>
      </c>
      <c r="D149" s="31">
        <v>0</v>
      </c>
      <c r="E149" s="31">
        <v>0</v>
      </c>
      <c r="F149" s="31">
        <v>0</v>
      </c>
    </row>
    <row r="150" spans="1:6" ht="28.8" x14ac:dyDescent="0.3">
      <c r="A150" s="30" t="s">
        <v>238</v>
      </c>
      <c r="B150" t="s">
        <v>165</v>
      </c>
      <c r="C150" s="31">
        <v>0</v>
      </c>
      <c r="D150" s="31">
        <v>0</v>
      </c>
      <c r="E150" s="31">
        <v>0</v>
      </c>
      <c r="F150" s="31">
        <v>0</v>
      </c>
    </row>
    <row r="151" spans="1:6" ht="28.8" x14ac:dyDescent="0.3">
      <c r="A151" s="30" t="s">
        <v>238</v>
      </c>
      <c r="B151" t="s">
        <v>239</v>
      </c>
      <c r="C151" s="31">
        <v>0</v>
      </c>
      <c r="D151" s="31">
        <v>0</v>
      </c>
      <c r="E151" s="31">
        <v>0</v>
      </c>
      <c r="F151" s="31">
        <v>0</v>
      </c>
    </row>
    <row r="152" spans="1:6" ht="28.8" x14ac:dyDescent="0.3">
      <c r="A152" s="30" t="s">
        <v>238</v>
      </c>
      <c r="B152" t="s">
        <v>198</v>
      </c>
      <c r="C152" s="31">
        <v>0</v>
      </c>
      <c r="D152" s="31">
        <v>0</v>
      </c>
      <c r="E152" s="31">
        <v>0</v>
      </c>
      <c r="F152" s="31">
        <v>0</v>
      </c>
    </row>
    <row r="153" spans="1:6" ht="28.8" x14ac:dyDescent="0.3">
      <c r="A153" s="30" t="s">
        <v>238</v>
      </c>
      <c r="B153" t="s">
        <v>221</v>
      </c>
      <c r="C153" s="31">
        <v>0</v>
      </c>
      <c r="D153" s="31">
        <v>0</v>
      </c>
      <c r="E153" s="31">
        <v>0</v>
      </c>
      <c r="F153" s="31">
        <v>0</v>
      </c>
    </row>
    <row r="154" spans="1:6" ht="28.8" x14ac:dyDescent="0.3">
      <c r="A154" s="30" t="s">
        <v>238</v>
      </c>
      <c r="B154" t="s">
        <v>222</v>
      </c>
      <c r="C154" s="31">
        <v>0</v>
      </c>
      <c r="D154" s="31">
        <v>0</v>
      </c>
      <c r="E154" s="31">
        <v>0</v>
      </c>
      <c r="F154" s="31">
        <v>0</v>
      </c>
    </row>
    <row r="155" spans="1:6" ht="28.8" x14ac:dyDescent="0.3">
      <c r="A155" s="30" t="s">
        <v>238</v>
      </c>
      <c r="B155" t="s">
        <v>240</v>
      </c>
      <c r="C155" s="31">
        <v>0</v>
      </c>
      <c r="D155" s="31">
        <v>0</v>
      </c>
      <c r="E155" s="31">
        <v>0</v>
      </c>
      <c r="F155" s="31">
        <v>0</v>
      </c>
    </row>
    <row r="156" spans="1:6" ht="28.8" x14ac:dyDescent="0.3">
      <c r="A156" s="30" t="s">
        <v>238</v>
      </c>
      <c r="B156" t="s">
        <v>176</v>
      </c>
      <c r="C156" s="31">
        <v>0</v>
      </c>
      <c r="D156" s="31">
        <v>0</v>
      </c>
      <c r="E156" s="31">
        <v>0</v>
      </c>
      <c r="F156" s="31">
        <v>0</v>
      </c>
    </row>
    <row r="157" spans="1:6" ht="28.8" x14ac:dyDescent="0.3">
      <c r="A157" s="30" t="s">
        <v>238</v>
      </c>
      <c r="B157" t="s">
        <v>187</v>
      </c>
      <c r="C157" s="31">
        <v>0</v>
      </c>
      <c r="D157" s="31">
        <v>0</v>
      </c>
      <c r="E157" s="31">
        <v>0</v>
      </c>
      <c r="F157" s="31">
        <v>0</v>
      </c>
    </row>
    <row r="158" spans="1:6" ht="28.8" x14ac:dyDescent="0.3">
      <c r="A158" s="30" t="s">
        <v>238</v>
      </c>
      <c r="B158" t="s">
        <v>168</v>
      </c>
      <c r="C158" s="31">
        <v>0</v>
      </c>
      <c r="D158" s="31">
        <v>0</v>
      </c>
      <c r="E158" s="31">
        <v>0</v>
      </c>
      <c r="F158" s="31">
        <v>0</v>
      </c>
    </row>
    <row r="159" spans="1:6" ht="28.8" x14ac:dyDescent="0.3">
      <c r="A159" s="30" t="s">
        <v>238</v>
      </c>
      <c r="B159" t="s">
        <v>177</v>
      </c>
      <c r="C159" s="31">
        <v>0</v>
      </c>
      <c r="D159" s="31">
        <v>0</v>
      </c>
      <c r="E159" s="31">
        <v>0</v>
      </c>
      <c r="F159" s="31">
        <v>0</v>
      </c>
    </row>
    <row r="160" spans="1:6" ht="28.8" x14ac:dyDescent="0.3">
      <c r="A160" s="30" t="s">
        <v>238</v>
      </c>
      <c r="B160" t="s">
        <v>169</v>
      </c>
      <c r="C160" s="31">
        <v>0</v>
      </c>
      <c r="D160" s="31">
        <v>0</v>
      </c>
      <c r="E160" s="31">
        <v>0</v>
      </c>
      <c r="F160" s="31">
        <v>0</v>
      </c>
    </row>
    <row r="161" spans="1:6" ht="28.8" x14ac:dyDescent="0.3">
      <c r="A161" s="30" t="s">
        <v>238</v>
      </c>
      <c r="B161" t="s">
        <v>201</v>
      </c>
      <c r="C161" s="31">
        <v>0</v>
      </c>
      <c r="D161" s="31">
        <v>0</v>
      </c>
      <c r="E161" s="31">
        <v>0</v>
      </c>
      <c r="F161" s="31">
        <v>0</v>
      </c>
    </row>
    <row r="162" spans="1:6" ht="28.8" x14ac:dyDescent="0.3">
      <c r="A162" s="30" t="s">
        <v>238</v>
      </c>
      <c r="B162" t="s">
        <v>202</v>
      </c>
      <c r="C162" s="31">
        <v>0</v>
      </c>
      <c r="D162" s="31">
        <v>0</v>
      </c>
      <c r="E162" s="31">
        <v>0</v>
      </c>
      <c r="F162" s="31">
        <v>0</v>
      </c>
    </row>
    <row r="163" spans="1:6" ht="28.8" x14ac:dyDescent="0.3">
      <c r="A163" s="30" t="s">
        <v>238</v>
      </c>
      <c r="B163" t="s">
        <v>237</v>
      </c>
      <c r="C163" s="31">
        <v>0</v>
      </c>
      <c r="D163" s="31">
        <v>0</v>
      </c>
      <c r="E163" s="31">
        <v>0</v>
      </c>
      <c r="F163" s="31">
        <v>0</v>
      </c>
    </row>
    <row r="164" spans="1:6" ht="28.8" x14ac:dyDescent="0.3">
      <c r="A164" s="30" t="s">
        <v>241</v>
      </c>
      <c r="B164" t="s">
        <v>161</v>
      </c>
      <c r="C164" s="31">
        <v>0</v>
      </c>
      <c r="D164" s="31">
        <v>0</v>
      </c>
      <c r="E164" s="31">
        <v>0</v>
      </c>
      <c r="F164" s="31">
        <v>0</v>
      </c>
    </row>
    <row r="165" spans="1:6" ht="28.8" x14ac:dyDescent="0.3">
      <c r="A165" s="30" t="s">
        <v>241</v>
      </c>
      <c r="B165" t="s">
        <v>206</v>
      </c>
      <c r="C165" s="31">
        <v>0</v>
      </c>
      <c r="D165" s="31">
        <v>0</v>
      </c>
      <c r="E165" s="31">
        <v>0</v>
      </c>
      <c r="F165" s="31">
        <v>0</v>
      </c>
    </row>
    <row r="166" spans="1:6" ht="28.8" x14ac:dyDescent="0.3">
      <c r="A166" s="30" t="s">
        <v>241</v>
      </c>
      <c r="B166" t="s">
        <v>165</v>
      </c>
      <c r="C166" s="31">
        <v>0</v>
      </c>
      <c r="D166" s="31">
        <v>0</v>
      </c>
      <c r="E166" s="31">
        <v>0</v>
      </c>
      <c r="F166" s="31">
        <v>0</v>
      </c>
    </row>
    <row r="167" spans="1:6" ht="28.8" x14ac:dyDescent="0.3">
      <c r="A167" s="30" t="s">
        <v>241</v>
      </c>
      <c r="B167" t="s">
        <v>207</v>
      </c>
      <c r="C167" s="31">
        <v>0</v>
      </c>
      <c r="D167" s="31">
        <v>0</v>
      </c>
      <c r="E167" s="31">
        <v>0</v>
      </c>
      <c r="F167" s="31">
        <v>0</v>
      </c>
    </row>
    <row r="168" spans="1:6" ht="28.8" x14ac:dyDescent="0.3">
      <c r="A168" s="30" t="s">
        <v>241</v>
      </c>
      <c r="B168" t="s">
        <v>240</v>
      </c>
      <c r="C168" s="31">
        <v>0</v>
      </c>
      <c r="D168" s="31">
        <v>0</v>
      </c>
      <c r="E168" s="31">
        <v>0</v>
      </c>
      <c r="F168" s="31">
        <v>0</v>
      </c>
    </row>
    <row r="169" spans="1:6" ht="28.8" x14ac:dyDescent="0.3">
      <c r="A169" s="30" t="s">
        <v>241</v>
      </c>
      <c r="B169" t="s">
        <v>223</v>
      </c>
      <c r="C169" s="31">
        <v>0</v>
      </c>
      <c r="D169" s="31">
        <v>0</v>
      </c>
      <c r="E169" s="31">
        <v>0</v>
      </c>
      <c r="F169" s="31">
        <v>0</v>
      </c>
    </row>
    <row r="170" spans="1:6" x14ac:dyDescent="0.3">
      <c r="A170" s="30" t="s">
        <v>242</v>
      </c>
      <c r="B170" t="s">
        <v>164</v>
      </c>
      <c r="C170" s="31">
        <v>0</v>
      </c>
      <c r="D170" s="31">
        <v>0</v>
      </c>
      <c r="E170" s="31">
        <v>0</v>
      </c>
      <c r="F170" s="31">
        <v>0</v>
      </c>
    </row>
    <row r="171" spans="1:6" x14ac:dyDescent="0.3">
      <c r="A171" s="30" t="s">
        <v>242</v>
      </c>
      <c r="B171" t="s">
        <v>181</v>
      </c>
      <c r="C171" s="31">
        <v>0</v>
      </c>
      <c r="D171" s="31">
        <v>0</v>
      </c>
      <c r="E171" s="31">
        <v>0</v>
      </c>
      <c r="F171" s="31">
        <v>0</v>
      </c>
    </row>
    <row r="172" spans="1:6" x14ac:dyDescent="0.3">
      <c r="A172" s="30" t="s">
        <v>242</v>
      </c>
      <c r="B172" t="s">
        <v>243</v>
      </c>
      <c r="C172" s="31">
        <v>0</v>
      </c>
      <c r="D172" s="31">
        <v>0</v>
      </c>
      <c r="E172" s="31">
        <v>0</v>
      </c>
      <c r="F172" s="31">
        <v>0</v>
      </c>
    </row>
    <row r="173" spans="1:6" x14ac:dyDescent="0.3">
      <c r="A173" s="30" t="s">
        <v>242</v>
      </c>
      <c r="B173" t="s">
        <v>207</v>
      </c>
      <c r="C173" s="31">
        <v>0</v>
      </c>
      <c r="D173" s="31">
        <v>0</v>
      </c>
      <c r="E173" s="31">
        <v>0</v>
      </c>
      <c r="F173" s="31">
        <v>0</v>
      </c>
    </row>
    <row r="174" spans="1:6" x14ac:dyDescent="0.3">
      <c r="A174" s="30" t="s">
        <v>242</v>
      </c>
      <c r="B174" t="s">
        <v>244</v>
      </c>
      <c r="C174" s="31">
        <v>0</v>
      </c>
      <c r="D174" s="31">
        <v>0</v>
      </c>
      <c r="E174" s="31">
        <v>0</v>
      </c>
      <c r="F174" s="31">
        <v>0</v>
      </c>
    </row>
    <row r="175" spans="1:6" x14ac:dyDescent="0.3">
      <c r="A175" s="30" t="s">
        <v>242</v>
      </c>
      <c r="B175" t="s">
        <v>245</v>
      </c>
      <c r="C175" s="31">
        <v>0</v>
      </c>
      <c r="D175" s="31">
        <v>0</v>
      </c>
      <c r="E175" s="31">
        <v>0</v>
      </c>
      <c r="F175" s="31">
        <v>0</v>
      </c>
    </row>
    <row r="176" spans="1:6" x14ac:dyDescent="0.3">
      <c r="A176" s="30" t="s">
        <v>242</v>
      </c>
      <c r="B176" t="s">
        <v>185</v>
      </c>
      <c r="C176" s="31">
        <v>0</v>
      </c>
      <c r="D176" s="31">
        <v>0</v>
      </c>
      <c r="E176" s="31">
        <v>0</v>
      </c>
      <c r="F176" s="31">
        <v>0</v>
      </c>
    </row>
    <row r="177" spans="1:6" x14ac:dyDescent="0.3">
      <c r="A177" s="30" t="s">
        <v>242</v>
      </c>
      <c r="B177" t="s">
        <v>176</v>
      </c>
      <c r="C177" s="31">
        <v>0</v>
      </c>
      <c r="D177" s="31">
        <v>0</v>
      </c>
      <c r="E177" s="31">
        <v>0</v>
      </c>
      <c r="F177" s="31">
        <v>0</v>
      </c>
    </row>
    <row r="178" spans="1:6" x14ac:dyDescent="0.3">
      <c r="A178" s="30" t="s">
        <v>242</v>
      </c>
      <c r="B178" t="s">
        <v>186</v>
      </c>
      <c r="C178" s="31">
        <v>0</v>
      </c>
      <c r="D178" s="31">
        <v>0</v>
      </c>
      <c r="E178" s="31">
        <v>0</v>
      </c>
      <c r="F178" s="31">
        <v>0</v>
      </c>
    </row>
    <row r="179" spans="1:6" x14ac:dyDescent="0.3">
      <c r="A179" s="30" t="s">
        <v>242</v>
      </c>
      <c r="B179" t="s">
        <v>229</v>
      </c>
      <c r="C179" s="31">
        <v>0</v>
      </c>
      <c r="D179" s="31">
        <v>0</v>
      </c>
      <c r="E179" s="31">
        <v>0</v>
      </c>
      <c r="F179" s="31">
        <v>0</v>
      </c>
    </row>
    <row r="180" spans="1:6" x14ac:dyDescent="0.3">
      <c r="A180" s="30" t="s">
        <v>242</v>
      </c>
      <c r="B180" t="s">
        <v>246</v>
      </c>
      <c r="C180" s="31">
        <v>0</v>
      </c>
      <c r="D180" s="31">
        <v>0</v>
      </c>
      <c r="E180" s="31">
        <v>0</v>
      </c>
      <c r="F180" s="31">
        <v>0</v>
      </c>
    </row>
    <row r="181" spans="1:6" x14ac:dyDescent="0.3">
      <c r="A181" s="30" t="s">
        <v>242</v>
      </c>
      <c r="B181" t="s">
        <v>177</v>
      </c>
      <c r="C181" s="31">
        <v>0</v>
      </c>
      <c r="D181" s="31">
        <v>0</v>
      </c>
      <c r="E181" s="31">
        <v>0</v>
      </c>
      <c r="F181" s="31">
        <v>0</v>
      </c>
    </row>
    <row r="182" spans="1:6" x14ac:dyDescent="0.3">
      <c r="A182" s="30" t="s">
        <v>242</v>
      </c>
      <c r="B182" t="s">
        <v>202</v>
      </c>
      <c r="C182" s="31">
        <v>0</v>
      </c>
      <c r="D182" s="31">
        <v>0</v>
      </c>
      <c r="E182" s="31">
        <v>0</v>
      </c>
      <c r="F182" s="31">
        <v>0</v>
      </c>
    </row>
    <row r="183" spans="1:6" x14ac:dyDescent="0.3">
      <c r="A183" s="30" t="s">
        <v>242</v>
      </c>
      <c r="B183" t="s">
        <v>171</v>
      </c>
      <c r="C183" s="31">
        <v>0</v>
      </c>
      <c r="D183" s="31">
        <v>0</v>
      </c>
      <c r="E183" s="31">
        <v>0</v>
      </c>
      <c r="F183" s="31">
        <v>0</v>
      </c>
    </row>
    <row r="184" spans="1:6" x14ac:dyDescent="0.3">
      <c r="A184" s="30" t="s">
        <v>242</v>
      </c>
      <c r="B184" t="s">
        <v>247</v>
      </c>
      <c r="C184" s="31">
        <v>0</v>
      </c>
      <c r="D184" s="31">
        <v>0</v>
      </c>
      <c r="E184" s="31">
        <v>0</v>
      </c>
      <c r="F184" s="31">
        <v>0</v>
      </c>
    </row>
    <row r="185" spans="1:6" x14ac:dyDescent="0.3">
      <c r="A185" s="30" t="s">
        <v>242</v>
      </c>
      <c r="B185" t="s">
        <v>237</v>
      </c>
      <c r="C185" s="31">
        <v>0</v>
      </c>
      <c r="D185" s="31">
        <v>0</v>
      </c>
      <c r="E185" s="31">
        <v>0</v>
      </c>
      <c r="F185" s="31">
        <v>0</v>
      </c>
    </row>
    <row r="186" spans="1:6" ht="28.8" x14ac:dyDescent="0.3">
      <c r="A186" s="30" t="s">
        <v>248</v>
      </c>
      <c r="B186" t="s">
        <v>180</v>
      </c>
      <c r="C186" s="31">
        <v>0</v>
      </c>
      <c r="D186" s="31">
        <v>0</v>
      </c>
      <c r="E186" s="31">
        <v>0</v>
      </c>
      <c r="F186" s="31">
        <v>0</v>
      </c>
    </row>
    <row r="187" spans="1:6" ht="28.8" x14ac:dyDescent="0.3">
      <c r="A187" s="30" t="s">
        <v>248</v>
      </c>
      <c r="B187" t="s">
        <v>199</v>
      </c>
      <c r="C187" s="31">
        <v>0</v>
      </c>
      <c r="D187" s="31">
        <v>0</v>
      </c>
      <c r="E187" s="31">
        <v>0</v>
      </c>
      <c r="F187" s="31">
        <v>0</v>
      </c>
    </row>
    <row r="188" spans="1:6" ht="28.8" x14ac:dyDescent="0.3">
      <c r="A188" s="30" t="s">
        <v>248</v>
      </c>
      <c r="B188" t="s">
        <v>185</v>
      </c>
      <c r="C188" s="31">
        <v>0</v>
      </c>
      <c r="D188" s="31">
        <v>0</v>
      </c>
      <c r="E188" s="31">
        <v>0</v>
      </c>
      <c r="F188" s="31">
        <v>0</v>
      </c>
    </row>
    <row r="189" spans="1:6" ht="28.8" x14ac:dyDescent="0.3">
      <c r="A189" s="30" t="s">
        <v>248</v>
      </c>
      <c r="B189" t="s">
        <v>189</v>
      </c>
      <c r="C189" s="31">
        <v>0</v>
      </c>
      <c r="D189" s="31">
        <v>0</v>
      </c>
      <c r="E189" s="31">
        <v>0</v>
      </c>
      <c r="F189" s="31">
        <v>0</v>
      </c>
    </row>
    <row r="190" spans="1:6" ht="28.8" x14ac:dyDescent="0.3">
      <c r="A190" s="30" t="s">
        <v>248</v>
      </c>
      <c r="B190" t="s">
        <v>231</v>
      </c>
      <c r="C190" s="31">
        <v>0</v>
      </c>
      <c r="D190" s="31">
        <v>0</v>
      </c>
      <c r="E190" s="31">
        <v>0</v>
      </c>
      <c r="F190" s="31">
        <v>0</v>
      </c>
    </row>
    <row r="191" spans="1:6" x14ac:dyDescent="0.3">
      <c r="A191" s="30" t="s">
        <v>249</v>
      </c>
      <c r="B191" t="s">
        <v>161</v>
      </c>
      <c r="C191" s="31">
        <v>0</v>
      </c>
      <c r="D191" s="31">
        <v>0</v>
      </c>
      <c r="E191" s="31">
        <v>0</v>
      </c>
      <c r="F191" s="31">
        <v>0</v>
      </c>
    </row>
    <row r="192" spans="1:6" x14ac:dyDescent="0.3">
      <c r="A192" s="30" t="s">
        <v>249</v>
      </c>
      <c r="B192" t="s">
        <v>194</v>
      </c>
      <c r="C192" s="31">
        <v>0</v>
      </c>
      <c r="D192" s="31">
        <v>0</v>
      </c>
      <c r="E192" s="31">
        <v>0</v>
      </c>
      <c r="F192" s="31">
        <v>0</v>
      </c>
    </row>
    <row r="193" spans="1:6" x14ac:dyDescent="0.3">
      <c r="A193" s="30" t="s">
        <v>249</v>
      </c>
      <c r="B193" t="s">
        <v>250</v>
      </c>
      <c r="C193" s="31">
        <v>0</v>
      </c>
      <c r="D193" s="31">
        <v>0</v>
      </c>
      <c r="E193" s="31">
        <v>0</v>
      </c>
      <c r="F193" s="31">
        <v>0</v>
      </c>
    </row>
    <row r="194" spans="1:6" x14ac:dyDescent="0.3">
      <c r="A194" s="30" t="s">
        <v>249</v>
      </c>
      <c r="B194" t="s">
        <v>180</v>
      </c>
      <c r="C194" s="31">
        <v>0</v>
      </c>
      <c r="D194" s="31">
        <v>0</v>
      </c>
      <c r="E194" s="31">
        <v>0</v>
      </c>
      <c r="F194" s="31">
        <v>0</v>
      </c>
    </row>
    <row r="195" spans="1:6" x14ac:dyDescent="0.3">
      <c r="A195" s="30" t="s">
        <v>249</v>
      </c>
      <c r="B195" t="s">
        <v>181</v>
      </c>
      <c r="C195" s="31">
        <v>0</v>
      </c>
      <c r="D195" s="31">
        <v>0</v>
      </c>
      <c r="E195" s="31">
        <v>0</v>
      </c>
      <c r="F195" s="31">
        <v>0</v>
      </c>
    </row>
    <row r="196" spans="1:6" x14ac:dyDescent="0.3">
      <c r="A196" s="30" t="s">
        <v>249</v>
      </c>
      <c r="B196" t="s">
        <v>168</v>
      </c>
      <c r="C196" s="31">
        <v>0</v>
      </c>
      <c r="D196" s="31">
        <v>0</v>
      </c>
      <c r="E196" s="31">
        <v>0</v>
      </c>
      <c r="F196" s="31">
        <v>0</v>
      </c>
    </row>
    <row r="197" spans="1:6" x14ac:dyDescent="0.3">
      <c r="A197" s="30" t="s">
        <v>249</v>
      </c>
      <c r="B197" t="s">
        <v>217</v>
      </c>
      <c r="C197" s="31">
        <v>0</v>
      </c>
      <c r="D197" s="31">
        <v>0</v>
      </c>
      <c r="E197" s="31">
        <v>0</v>
      </c>
      <c r="F197" s="31">
        <v>0</v>
      </c>
    </row>
    <row r="198" spans="1:6" x14ac:dyDescent="0.3">
      <c r="A198" s="30" t="s">
        <v>249</v>
      </c>
      <c r="B198" t="s">
        <v>203</v>
      </c>
      <c r="C198" s="31">
        <v>0</v>
      </c>
      <c r="D198" s="31">
        <v>0</v>
      </c>
      <c r="E198" s="31">
        <v>0</v>
      </c>
      <c r="F198" s="31">
        <v>0</v>
      </c>
    </row>
    <row r="199" spans="1:6" x14ac:dyDescent="0.3">
      <c r="A199" s="30" t="s">
        <v>251</v>
      </c>
      <c r="B199" t="s">
        <v>161</v>
      </c>
      <c r="C199" s="31">
        <v>0</v>
      </c>
      <c r="D199" s="31">
        <v>0</v>
      </c>
      <c r="E199" s="31">
        <v>0</v>
      </c>
      <c r="F199" s="31">
        <v>0</v>
      </c>
    </row>
    <row r="200" spans="1:6" x14ac:dyDescent="0.3">
      <c r="A200" s="30" t="s">
        <v>251</v>
      </c>
      <c r="B200" t="s">
        <v>171</v>
      </c>
      <c r="C200" s="31">
        <v>0</v>
      </c>
      <c r="D200" s="31">
        <v>0</v>
      </c>
      <c r="E200" s="31">
        <v>0</v>
      </c>
      <c r="F200" s="31">
        <v>0</v>
      </c>
    </row>
    <row r="201" spans="1:6" x14ac:dyDescent="0.3">
      <c r="A201" s="30" t="s">
        <v>251</v>
      </c>
      <c r="B201" t="s">
        <v>210</v>
      </c>
      <c r="C201" s="31">
        <v>0</v>
      </c>
      <c r="D201" s="31">
        <v>0</v>
      </c>
      <c r="E201" s="31">
        <v>0</v>
      </c>
      <c r="F201" s="31">
        <v>0</v>
      </c>
    </row>
    <row r="202" spans="1:6" x14ac:dyDescent="0.3">
      <c r="A202" s="30" t="s">
        <v>251</v>
      </c>
      <c r="B202" t="s">
        <v>217</v>
      </c>
      <c r="C202" s="31">
        <v>0</v>
      </c>
      <c r="D202" s="31">
        <v>0</v>
      </c>
      <c r="E202" s="31">
        <v>0</v>
      </c>
      <c r="F202" s="31">
        <v>0</v>
      </c>
    </row>
    <row r="203" spans="1:6" x14ac:dyDescent="0.3">
      <c r="A203" s="30" t="s">
        <v>251</v>
      </c>
      <c r="B203" t="s">
        <v>178</v>
      </c>
      <c r="C203" s="31">
        <v>0</v>
      </c>
      <c r="D203" s="31">
        <v>0</v>
      </c>
      <c r="E203" s="31">
        <v>0</v>
      </c>
      <c r="F203" s="31">
        <v>0</v>
      </c>
    </row>
    <row r="204" spans="1:6" x14ac:dyDescent="0.3">
      <c r="A204" s="30" t="s">
        <v>251</v>
      </c>
      <c r="B204" t="s">
        <v>173</v>
      </c>
      <c r="C204" s="31">
        <v>0</v>
      </c>
      <c r="D204" s="31">
        <v>0</v>
      </c>
      <c r="E204" s="31">
        <v>0</v>
      </c>
      <c r="F204" s="31">
        <v>0</v>
      </c>
    </row>
    <row r="205" spans="1:6" x14ac:dyDescent="0.3">
      <c r="A205" s="30" t="s">
        <v>252</v>
      </c>
      <c r="B205" t="s">
        <v>165</v>
      </c>
      <c r="C205" s="31">
        <v>0</v>
      </c>
      <c r="D205" s="31">
        <v>0</v>
      </c>
      <c r="E205" s="31">
        <v>0</v>
      </c>
      <c r="F205" s="31">
        <v>0</v>
      </c>
    </row>
    <row r="206" spans="1:6" x14ac:dyDescent="0.3">
      <c r="A206" s="30" t="s">
        <v>252</v>
      </c>
      <c r="B206" t="s">
        <v>167</v>
      </c>
      <c r="C206" s="31">
        <v>0</v>
      </c>
      <c r="D206" s="31">
        <v>0</v>
      </c>
      <c r="E206" s="31">
        <v>0</v>
      </c>
      <c r="F206" s="31">
        <v>0</v>
      </c>
    </row>
    <row r="207" spans="1:6" x14ac:dyDescent="0.3">
      <c r="A207" s="30" t="s">
        <v>252</v>
      </c>
      <c r="B207" t="s">
        <v>185</v>
      </c>
      <c r="C207" s="31">
        <v>0</v>
      </c>
      <c r="D207" s="31">
        <v>0</v>
      </c>
      <c r="E207" s="31">
        <v>0</v>
      </c>
      <c r="F207" s="31">
        <v>0</v>
      </c>
    </row>
    <row r="208" spans="1:6" x14ac:dyDescent="0.3">
      <c r="A208" s="30" t="s">
        <v>252</v>
      </c>
      <c r="B208" t="s">
        <v>172</v>
      </c>
      <c r="C208" s="31">
        <v>0</v>
      </c>
      <c r="D208" s="31">
        <v>0</v>
      </c>
      <c r="E208" s="31">
        <v>0</v>
      </c>
      <c r="F208" s="31">
        <v>0</v>
      </c>
    </row>
    <row r="209" spans="1:6" x14ac:dyDescent="0.3">
      <c r="A209" s="30" t="s">
        <v>253</v>
      </c>
      <c r="B209" t="s">
        <v>250</v>
      </c>
      <c r="C209" s="31">
        <v>0</v>
      </c>
      <c r="D209" s="31">
        <v>0</v>
      </c>
      <c r="E209" s="31">
        <v>0</v>
      </c>
      <c r="F209" s="31">
        <v>0</v>
      </c>
    </row>
    <row r="210" spans="1:6" x14ac:dyDescent="0.3">
      <c r="A210" s="30" t="s">
        <v>253</v>
      </c>
      <c r="B210" t="s">
        <v>181</v>
      </c>
      <c r="C210" s="31">
        <v>0</v>
      </c>
      <c r="D210" s="31">
        <v>0</v>
      </c>
      <c r="E210" s="31">
        <v>0</v>
      </c>
      <c r="F210" s="31">
        <v>0</v>
      </c>
    </row>
    <row r="211" spans="1:6" x14ac:dyDescent="0.3">
      <c r="A211" s="30" t="s">
        <v>253</v>
      </c>
      <c r="B211" t="s">
        <v>195</v>
      </c>
      <c r="C211" s="31">
        <v>0</v>
      </c>
      <c r="D211" s="31">
        <v>0</v>
      </c>
      <c r="E211" s="31">
        <v>0</v>
      </c>
      <c r="F211" s="31">
        <v>0</v>
      </c>
    </row>
    <row r="212" spans="1:6" x14ac:dyDescent="0.3">
      <c r="A212" s="30" t="s">
        <v>253</v>
      </c>
      <c r="B212" t="s">
        <v>213</v>
      </c>
      <c r="C212" s="31">
        <v>0</v>
      </c>
      <c r="D212" s="31">
        <v>0</v>
      </c>
      <c r="E212" s="31">
        <v>0</v>
      </c>
      <c r="F212" s="31">
        <v>0</v>
      </c>
    </row>
    <row r="213" spans="1:6" x14ac:dyDescent="0.3">
      <c r="A213" s="30" t="s">
        <v>253</v>
      </c>
      <c r="B213" t="s">
        <v>165</v>
      </c>
      <c r="C213" s="31">
        <v>0</v>
      </c>
      <c r="D213" s="31">
        <v>0</v>
      </c>
      <c r="E213" s="31">
        <v>0</v>
      </c>
      <c r="F213" s="31">
        <v>0</v>
      </c>
    </row>
    <row r="214" spans="1:6" x14ac:dyDescent="0.3">
      <c r="A214" s="30" t="s">
        <v>253</v>
      </c>
      <c r="B214" t="s">
        <v>254</v>
      </c>
      <c r="C214" s="31">
        <v>0</v>
      </c>
      <c r="D214" s="31">
        <v>0</v>
      </c>
      <c r="E214" s="31">
        <v>0</v>
      </c>
      <c r="F214" s="31">
        <v>0</v>
      </c>
    </row>
    <row r="215" spans="1:6" x14ac:dyDescent="0.3">
      <c r="A215" s="30" t="s">
        <v>253</v>
      </c>
      <c r="B215" t="s">
        <v>197</v>
      </c>
      <c r="C215" s="31">
        <v>0</v>
      </c>
      <c r="D215" s="31">
        <v>0</v>
      </c>
      <c r="E215" s="31">
        <v>0</v>
      </c>
      <c r="F215" s="31">
        <v>0</v>
      </c>
    </row>
    <row r="216" spans="1:6" x14ac:dyDescent="0.3">
      <c r="A216" s="30" t="s">
        <v>253</v>
      </c>
      <c r="B216" t="s">
        <v>166</v>
      </c>
      <c r="C216" s="31">
        <v>0</v>
      </c>
      <c r="D216" s="31">
        <v>0</v>
      </c>
      <c r="E216" s="31">
        <v>0</v>
      </c>
      <c r="F216" s="31">
        <v>0</v>
      </c>
    </row>
    <row r="217" spans="1:6" x14ac:dyDescent="0.3">
      <c r="A217" s="30" t="s">
        <v>253</v>
      </c>
      <c r="B217" t="s">
        <v>244</v>
      </c>
      <c r="C217" s="31">
        <v>0</v>
      </c>
      <c r="D217" s="31">
        <v>0</v>
      </c>
      <c r="E217" s="31">
        <v>0</v>
      </c>
      <c r="F217" s="31">
        <v>0</v>
      </c>
    </row>
    <row r="218" spans="1:6" x14ac:dyDescent="0.3">
      <c r="A218" s="30" t="s">
        <v>253</v>
      </c>
      <c r="B218" t="s">
        <v>228</v>
      </c>
      <c r="C218" s="31">
        <v>0</v>
      </c>
      <c r="D218" s="31">
        <v>0</v>
      </c>
      <c r="E218" s="31">
        <v>0</v>
      </c>
      <c r="F218" s="31">
        <v>0</v>
      </c>
    </row>
    <row r="219" spans="1:6" x14ac:dyDescent="0.3">
      <c r="A219" s="30" t="s">
        <v>253</v>
      </c>
      <c r="B219" t="s">
        <v>255</v>
      </c>
      <c r="C219" s="31">
        <v>0</v>
      </c>
      <c r="D219" s="31">
        <v>0</v>
      </c>
      <c r="E219" s="31">
        <v>0</v>
      </c>
      <c r="F219" s="31">
        <v>0</v>
      </c>
    </row>
    <row r="220" spans="1:6" x14ac:dyDescent="0.3">
      <c r="A220" s="30" t="s">
        <v>253</v>
      </c>
      <c r="B220" t="s">
        <v>176</v>
      </c>
      <c r="C220" s="31">
        <v>0</v>
      </c>
      <c r="D220" s="31">
        <v>0</v>
      </c>
      <c r="E220" s="31">
        <v>0</v>
      </c>
      <c r="F220" s="31">
        <v>0</v>
      </c>
    </row>
    <row r="221" spans="1:6" x14ac:dyDescent="0.3">
      <c r="A221" s="30" t="s">
        <v>253</v>
      </c>
      <c r="B221" t="s">
        <v>200</v>
      </c>
      <c r="C221" s="31">
        <v>0</v>
      </c>
      <c r="D221" s="31">
        <v>0</v>
      </c>
      <c r="E221" s="31">
        <v>0</v>
      </c>
      <c r="F221" s="31">
        <v>0</v>
      </c>
    </row>
    <row r="222" spans="1:6" x14ac:dyDescent="0.3">
      <c r="A222" s="30" t="s">
        <v>253</v>
      </c>
      <c r="B222" t="s">
        <v>256</v>
      </c>
      <c r="C222" s="31">
        <v>0</v>
      </c>
      <c r="D222" s="31">
        <v>0</v>
      </c>
      <c r="E222" s="31">
        <v>0</v>
      </c>
      <c r="F222" s="31">
        <v>0</v>
      </c>
    </row>
    <row r="223" spans="1:6" x14ac:dyDescent="0.3">
      <c r="A223" s="30" t="s">
        <v>253</v>
      </c>
      <c r="B223" t="s">
        <v>257</v>
      </c>
      <c r="C223" s="31">
        <v>0</v>
      </c>
      <c r="D223" s="31">
        <v>0</v>
      </c>
      <c r="E223" s="31">
        <v>0</v>
      </c>
      <c r="F223" s="31">
        <v>0</v>
      </c>
    </row>
    <row r="224" spans="1:6" x14ac:dyDescent="0.3">
      <c r="A224" s="30" t="s">
        <v>253</v>
      </c>
      <c r="B224" t="s">
        <v>189</v>
      </c>
      <c r="C224" s="31">
        <v>0</v>
      </c>
      <c r="D224" s="31">
        <v>0</v>
      </c>
      <c r="E224" s="31">
        <v>0</v>
      </c>
      <c r="F224" s="31">
        <v>0</v>
      </c>
    </row>
    <row r="225" spans="1:6" x14ac:dyDescent="0.3">
      <c r="A225" s="30" t="s">
        <v>253</v>
      </c>
      <c r="B225" t="s">
        <v>177</v>
      </c>
      <c r="C225" s="31">
        <v>0</v>
      </c>
      <c r="D225" s="31">
        <v>0</v>
      </c>
      <c r="E225" s="31">
        <v>0</v>
      </c>
      <c r="F225" s="31">
        <v>0</v>
      </c>
    </row>
    <row r="226" spans="1:6" x14ac:dyDescent="0.3">
      <c r="A226" s="30" t="s">
        <v>253</v>
      </c>
      <c r="B226" t="s">
        <v>190</v>
      </c>
      <c r="C226" s="31">
        <v>0</v>
      </c>
      <c r="D226" s="31">
        <v>0</v>
      </c>
      <c r="E226" s="31">
        <v>0</v>
      </c>
      <c r="F226" s="31">
        <v>0</v>
      </c>
    </row>
    <row r="227" spans="1:6" x14ac:dyDescent="0.3">
      <c r="A227" s="30" t="s">
        <v>253</v>
      </c>
      <c r="B227" t="s">
        <v>247</v>
      </c>
      <c r="C227" s="31">
        <v>0</v>
      </c>
      <c r="D227" s="31">
        <v>0</v>
      </c>
      <c r="E227" s="31">
        <v>0</v>
      </c>
      <c r="F227" s="31">
        <v>0</v>
      </c>
    </row>
    <row r="228" spans="1:6" x14ac:dyDescent="0.3">
      <c r="A228" s="30" t="s">
        <v>253</v>
      </c>
      <c r="B228" t="s">
        <v>225</v>
      </c>
      <c r="C228" s="31">
        <v>0</v>
      </c>
      <c r="D228" s="31">
        <v>0</v>
      </c>
      <c r="E228" s="31">
        <v>0</v>
      </c>
      <c r="F228" s="31">
        <v>0</v>
      </c>
    </row>
    <row r="229" spans="1:6" x14ac:dyDescent="0.3">
      <c r="A229" s="30" t="s">
        <v>253</v>
      </c>
      <c r="B229" t="s">
        <v>173</v>
      </c>
      <c r="C229" s="31">
        <v>0</v>
      </c>
      <c r="D229" s="31">
        <v>0</v>
      </c>
      <c r="E229" s="31">
        <v>0</v>
      </c>
      <c r="F229" s="31">
        <v>0</v>
      </c>
    </row>
    <row r="230" spans="1:6" x14ac:dyDescent="0.3">
      <c r="A230" s="30" t="s">
        <v>258</v>
      </c>
      <c r="B230" t="s">
        <v>162</v>
      </c>
      <c r="C230" s="31">
        <v>0</v>
      </c>
      <c r="D230" s="31">
        <v>0</v>
      </c>
      <c r="E230" s="31">
        <v>0</v>
      </c>
      <c r="F230" s="31">
        <v>0</v>
      </c>
    </row>
    <row r="231" spans="1:6" x14ac:dyDescent="0.3">
      <c r="A231" s="30" t="s">
        <v>258</v>
      </c>
      <c r="B231" t="s">
        <v>181</v>
      </c>
      <c r="C231" s="31">
        <v>0</v>
      </c>
      <c r="D231" s="31">
        <v>0</v>
      </c>
      <c r="E231" s="31">
        <v>0</v>
      </c>
      <c r="F231" s="31">
        <v>0</v>
      </c>
    </row>
    <row r="232" spans="1:6" x14ac:dyDescent="0.3">
      <c r="A232" s="30" t="s">
        <v>258</v>
      </c>
      <c r="B232" t="s">
        <v>220</v>
      </c>
      <c r="C232" s="31">
        <v>0</v>
      </c>
      <c r="D232" s="31">
        <v>0</v>
      </c>
      <c r="E232" s="31">
        <v>0</v>
      </c>
      <c r="F232" s="31">
        <v>0</v>
      </c>
    </row>
    <row r="233" spans="1:6" x14ac:dyDescent="0.3">
      <c r="A233" s="30" t="s">
        <v>258</v>
      </c>
      <c r="B233" t="s">
        <v>206</v>
      </c>
      <c r="C233" s="31">
        <v>0</v>
      </c>
      <c r="D233" s="31">
        <v>0</v>
      </c>
      <c r="E233" s="31">
        <v>0</v>
      </c>
      <c r="F233" s="31">
        <v>0</v>
      </c>
    </row>
    <row r="234" spans="1:6" x14ac:dyDescent="0.3">
      <c r="A234" s="30" t="s">
        <v>258</v>
      </c>
      <c r="B234" t="s">
        <v>165</v>
      </c>
      <c r="C234" s="31">
        <v>0</v>
      </c>
      <c r="D234" s="31">
        <v>0</v>
      </c>
      <c r="E234" s="31">
        <v>0</v>
      </c>
      <c r="F234" s="31">
        <v>0</v>
      </c>
    </row>
    <row r="235" spans="1:6" x14ac:dyDescent="0.3">
      <c r="A235" s="30" t="s">
        <v>258</v>
      </c>
      <c r="B235" t="s">
        <v>254</v>
      </c>
      <c r="C235" s="31">
        <v>0</v>
      </c>
      <c r="D235" s="31">
        <v>0</v>
      </c>
      <c r="E235" s="31">
        <v>0</v>
      </c>
      <c r="F235" s="31">
        <v>0</v>
      </c>
    </row>
    <row r="236" spans="1:6" x14ac:dyDescent="0.3">
      <c r="A236" s="30" t="s">
        <v>258</v>
      </c>
      <c r="B236" t="s">
        <v>197</v>
      </c>
      <c r="C236" s="31">
        <v>0</v>
      </c>
      <c r="D236" s="31">
        <v>0</v>
      </c>
      <c r="E236" s="31">
        <v>0</v>
      </c>
      <c r="F236" s="31">
        <v>0</v>
      </c>
    </row>
    <row r="237" spans="1:6" x14ac:dyDescent="0.3">
      <c r="A237" s="30" t="s">
        <v>258</v>
      </c>
      <c r="B237" t="s">
        <v>198</v>
      </c>
      <c r="C237" s="31">
        <v>0</v>
      </c>
      <c r="D237" s="31">
        <v>0</v>
      </c>
      <c r="E237" s="31">
        <v>0</v>
      </c>
      <c r="F237" s="31">
        <v>0</v>
      </c>
    </row>
    <row r="238" spans="1:6" x14ac:dyDescent="0.3">
      <c r="A238" s="30" t="s">
        <v>258</v>
      </c>
      <c r="B238" t="s">
        <v>244</v>
      </c>
      <c r="C238" s="31">
        <v>0</v>
      </c>
      <c r="D238" s="31">
        <v>0</v>
      </c>
      <c r="E238" s="31">
        <v>0</v>
      </c>
      <c r="F238" s="31">
        <v>0</v>
      </c>
    </row>
    <row r="239" spans="1:6" x14ac:dyDescent="0.3">
      <c r="A239" s="30" t="s">
        <v>258</v>
      </c>
      <c r="B239" t="s">
        <v>176</v>
      </c>
      <c r="C239" s="31">
        <v>0</v>
      </c>
      <c r="D239" s="31">
        <v>0</v>
      </c>
      <c r="E239" s="31">
        <v>0</v>
      </c>
      <c r="F239" s="31">
        <v>0</v>
      </c>
    </row>
    <row r="240" spans="1:6" x14ac:dyDescent="0.3">
      <c r="A240" s="30" t="s">
        <v>258</v>
      </c>
      <c r="B240" t="s">
        <v>200</v>
      </c>
      <c r="C240" s="31">
        <v>0</v>
      </c>
      <c r="D240" s="31">
        <v>0</v>
      </c>
      <c r="E240" s="31">
        <v>0</v>
      </c>
      <c r="F240" s="31">
        <v>0</v>
      </c>
    </row>
    <row r="241" spans="1:6" x14ac:dyDescent="0.3">
      <c r="A241" s="30" t="s">
        <v>258</v>
      </c>
      <c r="B241" t="s">
        <v>259</v>
      </c>
      <c r="C241" s="31">
        <v>0</v>
      </c>
      <c r="D241" s="31">
        <v>0</v>
      </c>
      <c r="E241" s="31">
        <v>0</v>
      </c>
      <c r="F241" s="31">
        <v>0</v>
      </c>
    </row>
    <row r="242" spans="1:6" x14ac:dyDescent="0.3">
      <c r="A242" s="30" t="s">
        <v>258</v>
      </c>
      <c r="B242" t="s">
        <v>237</v>
      </c>
      <c r="C242" s="31">
        <v>0</v>
      </c>
      <c r="D242" s="31">
        <v>0</v>
      </c>
      <c r="E242" s="31">
        <v>0</v>
      </c>
      <c r="F242" s="31">
        <v>0</v>
      </c>
    </row>
    <row r="243" spans="1:6" x14ac:dyDescent="0.3">
      <c r="A243" s="30" t="s">
        <v>258</v>
      </c>
      <c r="B243" t="s">
        <v>203</v>
      </c>
      <c r="C243" s="31">
        <v>0</v>
      </c>
      <c r="D243" s="31">
        <v>0</v>
      </c>
      <c r="E243" s="31">
        <v>0</v>
      </c>
      <c r="F243" s="31">
        <v>0</v>
      </c>
    </row>
    <row r="244" spans="1:6" x14ac:dyDescent="0.3">
      <c r="A244" s="30" t="s">
        <v>258</v>
      </c>
      <c r="B244" t="s">
        <v>173</v>
      </c>
      <c r="C244" s="31">
        <v>0</v>
      </c>
      <c r="D244" s="31">
        <v>0</v>
      </c>
      <c r="E244" s="31">
        <v>0</v>
      </c>
      <c r="F244" s="31">
        <v>0</v>
      </c>
    </row>
    <row r="245" spans="1:6" ht="28.8" x14ac:dyDescent="0.3">
      <c r="A245" s="30" t="s">
        <v>260</v>
      </c>
      <c r="B245" t="s">
        <v>196</v>
      </c>
      <c r="C245" s="31">
        <v>0</v>
      </c>
      <c r="D245" s="31">
        <v>0</v>
      </c>
      <c r="E245" s="31">
        <v>0</v>
      </c>
      <c r="F245" s="31">
        <v>0</v>
      </c>
    </row>
    <row r="246" spans="1:6" ht="28.8" x14ac:dyDescent="0.3">
      <c r="A246" s="30" t="s">
        <v>260</v>
      </c>
      <c r="B246" t="s">
        <v>197</v>
      </c>
      <c r="C246" s="31">
        <v>0</v>
      </c>
      <c r="D246" s="31">
        <v>0</v>
      </c>
      <c r="E246" s="31">
        <v>0</v>
      </c>
      <c r="F246" s="31">
        <v>0</v>
      </c>
    </row>
    <row r="247" spans="1:6" ht="28.8" x14ac:dyDescent="0.3">
      <c r="A247" s="30" t="s">
        <v>260</v>
      </c>
      <c r="B247" t="s">
        <v>182</v>
      </c>
      <c r="C247" s="31">
        <v>0</v>
      </c>
      <c r="D247" s="31">
        <v>0</v>
      </c>
      <c r="E247" s="31">
        <v>0</v>
      </c>
      <c r="F247" s="31">
        <v>0</v>
      </c>
    </row>
    <row r="248" spans="1:6" ht="28.8" x14ac:dyDescent="0.3">
      <c r="A248" s="30" t="s">
        <v>260</v>
      </c>
      <c r="B248" t="s">
        <v>166</v>
      </c>
      <c r="C248" s="31">
        <v>0</v>
      </c>
      <c r="D248" s="31">
        <v>0</v>
      </c>
      <c r="E248" s="31">
        <v>0</v>
      </c>
      <c r="F248" s="31">
        <v>0</v>
      </c>
    </row>
    <row r="249" spans="1:6" ht="28.8" x14ac:dyDescent="0.3">
      <c r="A249" s="30" t="s">
        <v>260</v>
      </c>
      <c r="B249" t="s">
        <v>244</v>
      </c>
      <c r="C249" s="31">
        <v>0</v>
      </c>
      <c r="D249" s="31">
        <v>0</v>
      </c>
      <c r="E249" s="31">
        <v>0</v>
      </c>
      <c r="F249" s="31">
        <v>0</v>
      </c>
    </row>
    <row r="250" spans="1:6" ht="28.8" x14ac:dyDescent="0.3">
      <c r="A250" s="30" t="s">
        <v>260</v>
      </c>
      <c r="B250" t="s">
        <v>245</v>
      </c>
      <c r="C250" s="31">
        <v>0</v>
      </c>
      <c r="D250" s="31">
        <v>0</v>
      </c>
      <c r="E250" s="31">
        <v>0</v>
      </c>
      <c r="F250" s="31">
        <v>0</v>
      </c>
    </row>
    <row r="251" spans="1:6" ht="28.8" x14ac:dyDescent="0.3">
      <c r="A251" s="30" t="s">
        <v>260</v>
      </c>
      <c r="B251" t="s">
        <v>176</v>
      </c>
      <c r="C251" s="31">
        <v>0</v>
      </c>
      <c r="D251" s="31">
        <v>0</v>
      </c>
      <c r="E251" s="31">
        <v>0</v>
      </c>
      <c r="F251" s="31">
        <v>0</v>
      </c>
    </row>
    <row r="252" spans="1:6" ht="28.8" x14ac:dyDescent="0.3">
      <c r="A252" s="30" t="s">
        <v>260</v>
      </c>
      <c r="B252" t="s">
        <v>259</v>
      </c>
      <c r="C252" s="31">
        <v>0</v>
      </c>
      <c r="D252" s="31">
        <v>0</v>
      </c>
      <c r="E252" s="31">
        <v>0</v>
      </c>
      <c r="F252" s="31">
        <v>0</v>
      </c>
    </row>
    <row r="253" spans="1:6" ht="28.8" x14ac:dyDescent="0.3">
      <c r="A253" s="30" t="s">
        <v>260</v>
      </c>
      <c r="B253" t="s">
        <v>189</v>
      </c>
      <c r="C253" s="31">
        <v>0</v>
      </c>
      <c r="D253" s="31">
        <v>0</v>
      </c>
      <c r="E253" s="31">
        <v>0</v>
      </c>
      <c r="F253" s="31">
        <v>0</v>
      </c>
    </row>
    <row r="254" spans="1:6" ht="28.8" x14ac:dyDescent="0.3">
      <c r="A254" s="30" t="s">
        <v>260</v>
      </c>
      <c r="B254" t="s">
        <v>177</v>
      </c>
      <c r="C254" s="31">
        <v>0</v>
      </c>
      <c r="D254" s="31">
        <v>0</v>
      </c>
      <c r="E254" s="31">
        <v>0</v>
      </c>
      <c r="F254" s="31">
        <v>0</v>
      </c>
    </row>
    <row r="255" spans="1:6" ht="28.8" x14ac:dyDescent="0.3">
      <c r="A255" s="30" t="s">
        <v>260</v>
      </c>
      <c r="B255" t="s">
        <v>201</v>
      </c>
      <c r="C255" s="31">
        <v>0</v>
      </c>
      <c r="D255" s="31">
        <v>0</v>
      </c>
      <c r="E255" s="31">
        <v>0</v>
      </c>
      <c r="F255" s="31">
        <v>0</v>
      </c>
    </row>
    <row r="256" spans="1:6" ht="28.8" x14ac:dyDescent="0.3">
      <c r="A256" s="30" t="s">
        <v>260</v>
      </c>
      <c r="B256" t="s">
        <v>171</v>
      </c>
      <c r="C256" s="31">
        <v>0</v>
      </c>
      <c r="D256" s="31">
        <v>0</v>
      </c>
      <c r="E256" s="31">
        <v>0</v>
      </c>
      <c r="F256" s="31">
        <v>0</v>
      </c>
    </row>
    <row r="257" spans="1:6" ht="28.8" x14ac:dyDescent="0.3">
      <c r="A257" s="30" t="s">
        <v>260</v>
      </c>
      <c r="B257" t="s">
        <v>223</v>
      </c>
      <c r="C257" s="31">
        <v>0</v>
      </c>
      <c r="D257" s="31">
        <v>0</v>
      </c>
      <c r="E257" s="31">
        <v>0</v>
      </c>
      <c r="F257" s="31">
        <v>0</v>
      </c>
    </row>
    <row r="258" spans="1:6" ht="28.8" x14ac:dyDescent="0.3">
      <c r="A258" s="30" t="s">
        <v>260</v>
      </c>
      <c r="B258" t="s">
        <v>217</v>
      </c>
      <c r="C258" s="31">
        <v>0</v>
      </c>
      <c r="D258" s="31">
        <v>0</v>
      </c>
      <c r="E258" s="31">
        <v>0</v>
      </c>
      <c r="F258" s="31">
        <v>0</v>
      </c>
    </row>
    <row r="259" spans="1:6" ht="28.8" x14ac:dyDescent="0.3">
      <c r="A259" s="30" t="s">
        <v>260</v>
      </c>
      <c r="B259" t="s">
        <v>224</v>
      </c>
      <c r="C259" s="31">
        <v>0</v>
      </c>
      <c r="D259" s="31">
        <v>0</v>
      </c>
      <c r="E259" s="31">
        <v>0</v>
      </c>
      <c r="F259" s="31">
        <v>0</v>
      </c>
    </row>
    <row r="260" spans="1:6" ht="28.8" x14ac:dyDescent="0.3">
      <c r="A260" s="30" t="s">
        <v>260</v>
      </c>
      <c r="B260" t="s">
        <v>225</v>
      </c>
      <c r="C260" s="31">
        <v>0</v>
      </c>
      <c r="D260" s="31">
        <v>0</v>
      </c>
      <c r="E260" s="31">
        <v>0</v>
      </c>
      <c r="F260" s="31">
        <v>0</v>
      </c>
    </row>
    <row r="261" spans="1:6" ht="28.8" x14ac:dyDescent="0.3">
      <c r="A261" s="30" t="s">
        <v>260</v>
      </c>
      <c r="B261" t="s">
        <v>203</v>
      </c>
      <c r="C261" s="31">
        <v>0</v>
      </c>
      <c r="D261" s="31">
        <v>0</v>
      </c>
      <c r="E261" s="31">
        <v>0</v>
      </c>
      <c r="F261" s="31">
        <v>0</v>
      </c>
    </row>
    <row r="262" spans="1:6" ht="28.8" x14ac:dyDescent="0.3">
      <c r="A262" s="30" t="s">
        <v>260</v>
      </c>
      <c r="B262" t="s">
        <v>230</v>
      </c>
      <c r="C262" s="31">
        <v>0</v>
      </c>
      <c r="D262" s="31">
        <v>0</v>
      </c>
      <c r="E262" s="31">
        <v>0</v>
      </c>
      <c r="F262" s="31">
        <v>0</v>
      </c>
    </row>
    <row r="263" spans="1:6" ht="28.8" x14ac:dyDescent="0.3">
      <c r="A263" s="30" t="s">
        <v>261</v>
      </c>
      <c r="B263" t="s">
        <v>180</v>
      </c>
      <c r="C263" s="31">
        <v>0</v>
      </c>
      <c r="D263" s="31">
        <v>0</v>
      </c>
      <c r="E263" s="31">
        <v>0</v>
      </c>
      <c r="F263" s="31">
        <v>0</v>
      </c>
    </row>
    <row r="264" spans="1:6" ht="28.8" x14ac:dyDescent="0.3">
      <c r="A264" s="30" t="s">
        <v>261</v>
      </c>
      <c r="B264" t="s">
        <v>181</v>
      </c>
      <c r="C264" s="31">
        <v>0</v>
      </c>
      <c r="D264" s="31">
        <v>0</v>
      </c>
      <c r="E264" s="31">
        <v>0</v>
      </c>
      <c r="F264" s="31">
        <v>0</v>
      </c>
    </row>
    <row r="265" spans="1:6" ht="28.8" x14ac:dyDescent="0.3">
      <c r="A265" s="30" t="s">
        <v>261</v>
      </c>
      <c r="B265" t="s">
        <v>254</v>
      </c>
      <c r="C265" s="31">
        <v>0</v>
      </c>
      <c r="D265" s="31">
        <v>0</v>
      </c>
      <c r="E265" s="31">
        <v>0</v>
      </c>
      <c r="F265" s="31">
        <v>0</v>
      </c>
    </row>
    <row r="266" spans="1:6" ht="28.8" x14ac:dyDescent="0.3">
      <c r="A266" s="30" t="s">
        <v>261</v>
      </c>
      <c r="B266" t="s">
        <v>199</v>
      </c>
      <c r="C266" s="31">
        <v>0</v>
      </c>
      <c r="D266" s="31">
        <v>0</v>
      </c>
      <c r="E266" s="31">
        <v>0</v>
      </c>
      <c r="F266" s="31">
        <v>0</v>
      </c>
    </row>
    <row r="267" spans="1:6" ht="28.8" x14ac:dyDescent="0.3">
      <c r="A267" s="30" t="s">
        <v>261</v>
      </c>
      <c r="B267" t="s">
        <v>187</v>
      </c>
      <c r="C267" s="31">
        <v>0</v>
      </c>
      <c r="D267" s="31">
        <v>0</v>
      </c>
      <c r="E267" s="31">
        <v>0</v>
      </c>
      <c r="F267" s="31">
        <v>0</v>
      </c>
    </row>
    <row r="268" spans="1:6" ht="28.8" x14ac:dyDescent="0.3">
      <c r="A268" s="30" t="s">
        <v>261</v>
      </c>
      <c r="B268" t="s">
        <v>177</v>
      </c>
      <c r="C268" s="31">
        <v>0</v>
      </c>
      <c r="D268" s="31">
        <v>0</v>
      </c>
      <c r="E268" s="31">
        <v>0</v>
      </c>
      <c r="F268" s="31">
        <v>0</v>
      </c>
    </row>
    <row r="269" spans="1:6" ht="28.8" x14ac:dyDescent="0.3">
      <c r="A269" s="30" t="s">
        <v>261</v>
      </c>
      <c r="B269" t="s">
        <v>171</v>
      </c>
      <c r="C269" s="31">
        <v>0</v>
      </c>
      <c r="D269" s="31">
        <v>0</v>
      </c>
      <c r="E269" s="31">
        <v>0</v>
      </c>
      <c r="F269" s="31">
        <v>0</v>
      </c>
    </row>
    <row r="270" spans="1:6" ht="28.8" x14ac:dyDescent="0.3">
      <c r="A270" s="30" t="s">
        <v>261</v>
      </c>
      <c r="B270" t="s">
        <v>178</v>
      </c>
      <c r="C270" s="31">
        <v>0</v>
      </c>
      <c r="D270" s="31">
        <v>0</v>
      </c>
      <c r="E270" s="31">
        <v>0</v>
      </c>
      <c r="F270" s="31">
        <v>0</v>
      </c>
    </row>
    <row r="271" spans="1:6" ht="28.8" x14ac:dyDescent="0.3">
      <c r="A271" s="30" t="s">
        <v>261</v>
      </c>
      <c r="B271" t="s">
        <v>237</v>
      </c>
      <c r="C271" s="31">
        <v>0</v>
      </c>
      <c r="D271" s="31">
        <v>0</v>
      </c>
      <c r="E271" s="31">
        <v>0</v>
      </c>
      <c r="F271" s="31">
        <v>0</v>
      </c>
    </row>
    <row r="272" spans="1:6" x14ac:dyDescent="0.3">
      <c r="A272" s="30" t="s">
        <v>262</v>
      </c>
      <c r="B272" t="s">
        <v>175</v>
      </c>
      <c r="C272" s="31">
        <v>0</v>
      </c>
      <c r="D272" s="31">
        <v>0</v>
      </c>
      <c r="E272" s="31">
        <v>0</v>
      </c>
      <c r="F272" s="31">
        <v>0</v>
      </c>
    </row>
    <row r="273" spans="1:6" x14ac:dyDescent="0.3">
      <c r="A273" s="30" t="s">
        <v>262</v>
      </c>
      <c r="B273" t="s">
        <v>165</v>
      </c>
      <c r="C273" s="31">
        <v>0</v>
      </c>
      <c r="D273" s="31">
        <v>0</v>
      </c>
      <c r="E273" s="31">
        <v>0</v>
      </c>
      <c r="F273" s="31">
        <v>0</v>
      </c>
    </row>
    <row r="274" spans="1:6" x14ac:dyDescent="0.3">
      <c r="A274" s="30" t="s">
        <v>262</v>
      </c>
      <c r="B274" t="s">
        <v>254</v>
      </c>
      <c r="C274" s="31">
        <v>0</v>
      </c>
      <c r="D274" s="31">
        <v>0</v>
      </c>
      <c r="E274" s="31">
        <v>0</v>
      </c>
      <c r="F274" s="31">
        <v>0</v>
      </c>
    </row>
    <row r="275" spans="1:6" x14ac:dyDescent="0.3">
      <c r="A275" s="30" t="s">
        <v>262</v>
      </c>
      <c r="B275" t="s">
        <v>222</v>
      </c>
      <c r="C275" s="31">
        <v>0</v>
      </c>
      <c r="D275" s="31">
        <v>0</v>
      </c>
      <c r="E275" s="31">
        <v>0</v>
      </c>
      <c r="F275" s="31">
        <v>0</v>
      </c>
    </row>
    <row r="276" spans="1:6" x14ac:dyDescent="0.3">
      <c r="A276" s="30" t="s">
        <v>262</v>
      </c>
      <c r="B276" t="s">
        <v>246</v>
      </c>
      <c r="C276" s="31">
        <v>0</v>
      </c>
      <c r="D276" s="31">
        <v>0</v>
      </c>
      <c r="E276" s="31">
        <v>0</v>
      </c>
      <c r="F276" s="31">
        <v>0</v>
      </c>
    </row>
    <row r="277" spans="1:6" x14ac:dyDescent="0.3">
      <c r="A277" s="30" t="s">
        <v>262</v>
      </c>
      <c r="B277" t="s">
        <v>168</v>
      </c>
      <c r="C277" s="31">
        <v>0</v>
      </c>
      <c r="D277" s="31">
        <v>0</v>
      </c>
      <c r="E277" s="31">
        <v>0</v>
      </c>
      <c r="F277" s="31">
        <v>0</v>
      </c>
    </row>
    <row r="278" spans="1:6" x14ac:dyDescent="0.3">
      <c r="A278" s="30" t="s">
        <v>262</v>
      </c>
      <c r="B278" t="s">
        <v>173</v>
      </c>
      <c r="C278" s="31">
        <v>0</v>
      </c>
      <c r="D278" s="31">
        <v>0</v>
      </c>
      <c r="E278" s="31">
        <v>0</v>
      </c>
      <c r="F278" s="31">
        <v>0</v>
      </c>
    </row>
  </sheetData>
  <sortState xmlns:xlrd2="http://schemas.microsoft.com/office/spreadsheetml/2017/richdata2" ref="C2:C278">
    <sortCondition descending="1" ref="C1:C278"/>
  </sortState>
  <conditionalFormatting sqref="C1:F27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FC31-26B7-4F0D-A663-E1F911705B27}">
  <sheetPr codeName="Sheet8"/>
  <dimension ref="A1:G26"/>
  <sheetViews>
    <sheetView workbookViewId="0">
      <selection sqref="A1:D1"/>
    </sheetView>
  </sheetViews>
  <sheetFormatPr defaultRowHeight="14.4" x14ac:dyDescent="0.3"/>
  <cols>
    <col min="1" max="1" width="10.77734375" bestFit="1" customWidth="1"/>
    <col min="2" max="2" width="16.6640625" bestFit="1" customWidth="1"/>
    <col min="3" max="3" width="13.88671875" bestFit="1" customWidth="1"/>
    <col min="4" max="4" width="20.77734375" bestFit="1" customWidth="1"/>
  </cols>
  <sheetData>
    <row r="1" spans="1:4" ht="15.6" x14ac:dyDescent="0.3">
      <c r="A1" s="3" t="s">
        <v>108</v>
      </c>
      <c r="B1" s="3" t="s">
        <v>122</v>
      </c>
      <c r="C1" s="3" t="s">
        <v>124</v>
      </c>
      <c r="D1" s="3" t="s">
        <v>125</v>
      </c>
    </row>
    <row r="2" spans="1:4" x14ac:dyDescent="0.3">
      <c r="A2" s="7">
        <v>44939</v>
      </c>
      <c r="B2" s="1" t="s">
        <v>128</v>
      </c>
      <c r="C2" s="1">
        <v>500</v>
      </c>
      <c r="D2" s="1" t="s">
        <v>15</v>
      </c>
    </row>
    <row r="3" spans="1:4" x14ac:dyDescent="0.3">
      <c r="A3" s="7">
        <v>44939</v>
      </c>
      <c r="B3" s="1" t="s">
        <v>127</v>
      </c>
      <c r="C3" s="1">
        <v>480</v>
      </c>
      <c r="D3" s="1" t="s">
        <v>39</v>
      </c>
    </row>
    <row r="4" spans="1:4" x14ac:dyDescent="0.3">
      <c r="A4" s="7">
        <v>44927</v>
      </c>
      <c r="B4" s="1" t="s">
        <v>126</v>
      </c>
      <c r="C4" s="1">
        <v>460</v>
      </c>
      <c r="D4" s="1" t="s">
        <v>38</v>
      </c>
    </row>
    <row r="5" spans="1:4" x14ac:dyDescent="0.3">
      <c r="A5" s="7">
        <v>44939</v>
      </c>
      <c r="B5" s="1" t="s">
        <v>123</v>
      </c>
      <c r="C5" s="1">
        <v>440</v>
      </c>
      <c r="D5" s="1" t="s">
        <v>9</v>
      </c>
    </row>
    <row r="6" spans="1:4" x14ac:dyDescent="0.3">
      <c r="A6" s="7">
        <v>44939</v>
      </c>
      <c r="B6" s="1" t="s">
        <v>131</v>
      </c>
      <c r="C6" s="1">
        <v>420</v>
      </c>
      <c r="D6" s="1" t="s">
        <v>15</v>
      </c>
    </row>
    <row r="7" spans="1:4" x14ac:dyDescent="0.3">
      <c r="A7" s="7">
        <v>44939</v>
      </c>
      <c r="B7" s="1" t="s">
        <v>130</v>
      </c>
      <c r="C7" s="1">
        <v>400</v>
      </c>
      <c r="D7" s="1" t="s">
        <v>39</v>
      </c>
    </row>
    <row r="8" spans="1:4" x14ac:dyDescent="0.3">
      <c r="A8" s="7">
        <v>44927</v>
      </c>
      <c r="B8" s="1" t="s">
        <v>129</v>
      </c>
      <c r="C8" s="1">
        <v>380</v>
      </c>
      <c r="D8" s="1" t="s">
        <v>38</v>
      </c>
    </row>
    <row r="9" spans="1:4" x14ac:dyDescent="0.3">
      <c r="A9" s="7">
        <v>44939</v>
      </c>
      <c r="B9" s="1" t="s">
        <v>128</v>
      </c>
      <c r="C9" s="1">
        <v>360</v>
      </c>
      <c r="D9" s="1" t="s">
        <v>9</v>
      </c>
    </row>
    <row r="10" spans="1:4" x14ac:dyDescent="0.3">
      <c r="A10" s="7">
        <v>44939</v>
      </c>
      <c r="B10" s="1" t="s">
        <v>127</v>
      </c>
      <c r="C10" s="1">
        <v>340</v>
      </c>
      <c r="D10" s="1" t="s">
        <v>15</v>
      </c>
    </row>
    <row r="11" spans="1:4" x14ac:dyDescent="0.3">
      <c r="A11" s="7">
        <v>44939</v>
      </c>
      <c r="B11" s="1" t="s">
        <v>126</v>
      </c>
      <c r="C11" s="1">
        <v>320</v>
      </c>
      <c r="D11" s="1" t="s">
        <v>39</v>
      </c>
    </row>
    <row r="12" spans="1:4" x14ac:dyDescent="0.3">
      <c r="A12" s="7">
        <v>44927</v>
      </c>
      <c r="B12" s="1" t="s">
        <v>123</v>
      </c>
      <c r="C12" s="1">
        <v>300</v>
      </c>
      <c r="D12" s="1" t="s">
        <v>38</v>
      </c>
    </row>
    <row r="13" spans="1:4" x14ac:dyDescent="0.3">
      <c r="A13" s="7">
        <v>44939</v>
      </c>
      <c r="B13" s="1" t="s">
        <v>131</v>
      </c>
      <c r="C13" s="1">
        <v>280</v>
      </c>
      <c r="D13" s="1" t="s">
        <v>9</v>
      </c>
    </row>
    <row r="14" spans="1:4" x14ac:dyDescent="0.3">
      <c r="A14" s="7">
        <v>44939</v>
      </c>
      <c r="B14" s="1" t="s">
        <v>130</v>
      </c>
      <c r="C14" s="1">
        <v>260</v>
      </c>
      <c r="D14" s="1" t="s">
        <v>15</v>
      </c>
    </row>
    <row r="15" spans="1:4" x14ac:dyDescent="0.3">
      <c r="A15" s="7">
        <v>44939</v>
      </c>
      <c r="B15" s="1" t="s">
        <v>129</v>
      </c>
      <c r="C15" s="1">
        <v>240</v>
      </c>
      <c r="D15" s="1" t="s">
        <v>39</v>
      </c>
    </row>
    <row r="16" spans="1:4" x14ac:dyDescent="0.3">
      <c r="A16" s="7">
        <v>44927</v>
      </c>
      <c r="B16" s="1" t="s">
        <v>128</v>
      </c>
      <c r="C16" s="1">
        <v>220</v>
      </c>
      <c r="D16" s="1" t="s">
        <v>38</v>
      </c>
    </row>
    <row r="17" spans="1:7" x14ac:dyDescent="0.3">
      <c r="A17" s="7">
        <v>44939</v>
      </c>
      <c r="B17" s="1" t="s">
        <v>127</v>
      </c>
      <c r="C17" s="1">
        <v>200</v>
      </c>
      <c r="D17" s="1" t="s">
        <v>9</v>
      </c>
    </row>
    <row r="18" spans="1:7" x14ac:dyDescent="0.3">
      <c r="A18" s="7">
        <v>44939</v>
      </c>
      <c r="B18" s="1" t="s">
        <v>126</v>
      </c>
      <c r="C18" s="1">
        <v>180</v>
      </c>
      <c r="D18" s="1" t="s">
        <v>15</v>
      </c>
    </row>
    <row r="19" spans="1:7" x14ac:dyDescent="0.3">
      <c r="A19" s="7">
        <v>44939</v>
      </c>
      <c r="B19" s="1" t="s">
        <v>123</v>
      </c>
      <c r="C19" s="1">
        <v>160</v>
      </c>
      <c r="D19" s="1" t="s">
        <v>39</v>
      </c>
    </row>
    <row r="20" spans="1:7" x14ac:dyDescent="0.3">
      <c r="A20" s="7">
        <v>44927</v>
      </c>
      <c r="B20" s="1" t="s">
        <v>131</v>
      </c>
      <c r="C20" s="1">
        <v>140</v>
      </c>
      <c r="D20" s="1" t="s">
        <v>38</v>
      </c>
      <c r="G20" s="32"/>
    </row>
    <row r="21" spans="1:7" x14ac:dyDescent="0.3">
      <c r="A21" s="7">
        <v>44939</v>
      </c>
      <c r="B21" s="1" t="s">
        <v>130</v>
      </c>
      <c r="C21" s="1">
        <v>120</v>
      </c>
      <c r="D21" s="1" t="s">
        <v>9</v>
      </c>
    </row>
    <row r="22" spans="1:7" x14ac:dyDescent="0.3">
      <c r="A22" s="7">
        <v>44939</v>
      </c>
      <c r="B22" s="1" t="s">
        <v>129</v>
      </c>
      <c r="C22" s="1">
        <v>100</v>
      </c>
      <c r="D22" s="1" t="s">
        <v>15</v>
      </c>
    </row>
    <row r="23" spans="1:7" x14ac:dyDescent="0.3">
      <c r="A23" s="7">
        <v>44939</v>
      </c>
      <c r="B23" s="1" t="s">
        <v>128</v>
      </c>
      <c r="C23" s="1">
        <v>80</v>
      </c>
      <c r="D23" s="1" t="s">
        <v>39</v>
      </c>
    </row>
    <row r="24" spans="1:7" x14ac:dyDescent="0.3">
      <c r="A24" s="7">
        <v>44927</v>
      </c>
      <c r="B24" s="1" t="s">
        <v>127</v>
      </c>
      <c r="C24" s="1">
        <v>60</v>
      </c>
      <c r="D24" s="1" t="s">
        <v>38</v>
      </c>
    </row>
    <row r="25" spans="1:7" x14ac:dyDescent="0.3">
      <c r="A25" s="7">
        <v>44939</v>
      </c>
      <c r="B25" s="1" t="s">
        <v>126</v>
      </c>
      <c r="C25" s="1">
        <v>40</v>
      </c>
      <c r="D25" s="1" t="s">
        <v>9</v>
      </c>
    </row>
    <row r="26" spans="1:7" x14ac:dyDescent="0.3">
      <c r="A26" s="7">
        <v>44939</v>
      </c>
      <c r="B26" s="1" t="s">
        <v>123</v>
      </c>
      <c r="C26" s="1">
        <v>20</v>
      </c>
      <c r="D26" s="1" t="s">
        <v>15</v>
      </c>
    </row>
  </sheetData>
  <conditionalFormatting sqref="C2:C26">
    <cfRule type="colorScale" priority="1">
      <colorScale>
        <cfvo type="min"/>
        <cfvo type="percentile" val="50"/>
        <cfvo type="max"/>
        <color rgb="FFF8696B"/>
        <color rgb="FFFFEB84"/>
        <color rgb="FF63BE7B"/>
      </colorScale>
    </cfRule>
  </conditionalFormatting>
  <dataValidations count="4">
    <dataValidation type="list" allowBlank="1" showInputMessage="1" showErrorMessage="1" sqref="D1:D1048576" xr:uid="{27D2C124-3AFF-44E4-8B69-46424DACBD00}">
      <formula1>"cash,error,fail,UPI"</formula1>
    </dataValidation>
    <dataValidation type="whole" allowBlank="1" showInputMessage="1" showErrorMessage="1" sqref="C2:C26" xr:uid="{9A5F37FE-BE79-4684-B6E2-A1628C28A594}">
      <formula1>10</formula1>
      <formula2>50000</formula2>
    </dataValidation>
    <dataValidation type="textLength" allowBlank="1" showInputMessage="1" showErrorMessage="1" sqref="B2 B9 B16 B23" xr:uid="{B3D75036-1F39-4C02-BCCD-F641F826B79B}">
      <formula1>2</formula1>
      <formula2>20</formula2>
    </dataValidation>
    <dataValidation type="date" allowBlank="1" showInputMessage="1" showErrorMessage="1" sqref="A2:A26" xr:uid="{F4A8EA9D-32D7-4551-82DE-E39230A2C77E}">
      <formula1>44927</formula1>
      <formula2>45290</formula2>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34F9-89E7-428C-A7CF-A2DC313F8476}">
  <sheetPr codeName="Sheet9"/>
  <dimension ref="A1:G26"/>
  <sheetViews>
    <sheetView workbookViewId="0">
      <selection activeCell="J18" sqref="J18"/>
    </sheetView>
  </sheetViews>
  <sheetFormatPr defaultRowHeight="14.4" x14ac:dyDescent="0.3"/>
  <cols>
    <col min="1" max="1" width="10.33203125" bestFit="1" customWidth="1"/>
    <col min="2" max="2" width="14.109375" customWidth="1"/>
    <col min="3" max="3" width="11.33203125" customWidth="1"/>
    <col min="4" max="4" width="18.109375" customWidth="1"/>
  </cols>
  <sheetData>
    <row r="1" spans="1:7" ht="15.6" x14ac:dyDescent="0.3">
      <c r="A1" s="37" t="s">
        <v>108</v>
      </c>
      <c r="B1" s="37" t="s">
        <v>122</v>
      </c>
      <c r="C1" s="37" t="s">
        <v>124</v>
      </c>
      <c r="D1" s="37" t="s">
        <v>125</v>
      </c>
    </row>
    <row r="2" spans="1:7" x14ac:dyDescent="0.3">
      <c r="A2" s="35">
        <v>44939</v>
      </c>
      <c r="B2" s="33" t="s">
        <v>128</v>
      </c>
      <c r="C2" s="33">
        <v>500</v>
      </c>
      <c r="D2" s="33" t="s">
        <v>15</v>
      </c>
    </row>
    <row r="3" spans="1:7" x14ac:dyDescent="0.3">
      <c r="A3" s="36">
        <v>44939</v>
      </c>
      <c r="B3" s="34" t="s">
        <v>127</v>
      </c>
      <c r="C3" s="34">
        <v>480</v>
      </c>
      <c r="D3" s="34" t="s">
        <v>39</v>
      </c>
      <c r="G3" t="e">
        <f>VLOOKUP(B2,Table14[],4,FALSE)</f>
        <v>#N/A</v>
      </c>
    </row>
    <row r="4" spans="1:7" x14ac:dyDescent="0.3">
      <c r="A4" s="35">
        <v>44927</v>
      </c>
      <c r="B4" s="33" t="s">
        <v>126</v>
      </c>
      <c r="C4" s="33">
        <v>460</v>
      </c>
      <c r="D4" s="33" t="s">
        <v>38</v>
      </c>
    </row>
    <row r="5" spans="1:7" x14ac:dyDescent="0.3">
      <c r="A5" s="36">
        <v>44939</v>
      </c>
      <c r="B5" s="34" t="s">
        <v>123</v>
      </c>
      <c r="C5" s="34">
        <v>440</v>
      </c>
      <c r="D5" s="34" t="s">
        <v>9</v>
      </c>
    </row>
    <row r="6" spans="1:7" x14ac:dyDescent="0.3">
      <c r="A6" s="35">
        <v>44939</v>
      </c>
      <c r="B6" s="33" t="s">
        <v>131</v>
      </c>
      <c r="C6" s="33">
        <v>420</v>
      </c>
      <c r="D6" s="33" t="s">
        <v>15</v>
      </c>
    </row>
    <row r="7" spans="1:7" x14ac:dyDescent="0.3">
      <c r="A7" s="36">
        <v>44939</v>
      </c>
      <c r="B7" s="34" t="s">
        <v>130</v>
      </c>
      <c r="C7" s="34">
        <v>400</v>
      </c>
      <c r="D7" s="34" t="s">
        <v>39</v>
      </c>
    </row>
    <row r="8" spans="1:7" x14ac:dyDescent="0.3">
      <c r="A8" s="35">
        <v>44927</v>
      </c>
      <c r="B8" s="33" t="s">
        <v>129</v>
      </c>
      <c r="C8" s="33">
        <v>380</v>
      </c>
      <c r="D8" s="33" t="s">
        <v>38</v>
      </c>
    </row>
    <row r="9" spans="1:7" x14ac:dyDescent="0.3">
      <c r="A9" s="36">
        <v>44939</v>
      </c>
      <c r="B9" s="34" t="s">
        <v>128</v>
      </c>
      <c r="C9" s="34">
        <v>360</v>
      </c>
      <c r="D9" s="34" t="s">
        <v>9</v>
      </c>
    </row>
    <row r="10" spans="1:7" x14ac:dyDescent="0.3">
      <c r="A10" s="35">
        <v>44939</v>
      </c>
      <c r="B10" s="33" t="s">
        <v>127</v>
      </c>
      <c r="C10" s="33">
        <v>340</v>
      </c>
      <c r="D10" s="33" t="s">
        <v>15</v>
      </c>
    </row>
    <row r="11" spans="1:7" x14ac:dyDescent="0.3">
      <c r="A11" s="36">
        <v>44939</v>
      </c>
      <c r="B11" s="34" t="s">
        <v>126</v>
      </c>
      <c r="C11" s="34">
        <v>320</v>
      </c>
      <c r="D11" s="34" t="s">
        <v>39</v>
      </c>
    </row>
    <row r="12" spans="1:7" x14ac:dyDescent="0.3">
      <c r="A12" s="35">
        <v>44927</v>
      </c>
      <c r="B12" s="33" t="s">
        <v>123</v>
      </c>
      <c r="C12" s="33">
        <v>300</v>
      </c>
      <c r="D12" s="33" t="s">
        <v>38</v>
      </c>
    </row>
    <row r="13" spans="1:7" x14ac:dyDescent="0.3">
      <c r="A13" s="36">
        <v>44939</v>
      </c>
      <c r="B13" s="34" t="s">
        <v>131</v>
      </c>
      <c r="C13" s="34">
        <v>280</v>
      </c>
      <c r="D13" s="34" t="s">
        <v>9</v>
      </c>
    </row>
    <row r="14" spans="1:7" x14ac:dyDescent="0.3">
      <c r="A14" s="35">
        <v>44939</v>
      </c>
      <c r="B14" s="33" t="s">
        <v>130</v>
      </c>
      <c r="C14" s="33">
        <v>260</v>
      </c>
      <c r="D14" s="33" t="s">
        <v>15</v>
      </c>
    </row>
    <row r="15" spans="1:7" x14ac:dyDescent="0.3">
      <c r="A15" s="36">
        <v>44939</v>
      </c>
      <c r="B15" s="34" t="s">
        <v>129</v>
      </c>
      <c r="C15" s="34">
        <v>240</v>
      </c>
      <c r="D15" s="34" t="s">
        <v>39</v>
      </c>
    </row>
    <row r="16" spans="1:7" x14ac:dyDescent="0.3">
      <c r="A16" s="35">
        <v>44927</v>
      </c>
      <c r="B16" s="33" t="s">
        <v>128</v>
      </c>
      <c r="C16" s="33">
        <v>220</v>
      </c>
      <c r="D16" s="33" t="s">
        <v>38</v>
      </c>
    </row>
    <row r="17" spans="1:4" x14ac:dyDescent="0.3">
      <c r="A17" s="36">
        <v>44939</v>
      </c>
      <c r="B17" s="34" t="s">
        <v>127</v>
      </c>
      <c r="C17" s="34">
        <v>200</v>
      </c>
      <c r="D17" s="34" t="s">
        <v>9</v>
      </c>
    </row>
    <row r="18" spans="1:4" x14ac:dyDescent="0.3">
      <c r="A18" s="35">
        <v>44939</v>
      </c>
      <c r="B18" s="33" t="s">
        <v>126</v>
      </c>
      <c r="C18" s="33">
        <v>180</v>
      </c>
      <c r="D18" s="33" t="s">
        <v>15</v>
      </c>
    </row>
    <row r="19" spans="1:4" x14ac:dyDescent="0.3">
      <c r="A19" s="36">
        <v>44939</v>
      </c>
      <c r="B19" s="34" t="s">
        <v>123</v>
      </c>
      <c r="C19" s="34">
        <v>160</v>
      </c>
      <c r="D19" s="34" t="s">
        <v>39</v>
      </c>
    </row>
    <row r="20" spans="1:4" x14ac:dyDescent="0.3">
      <c r="A20" s="35">
        <v>44927</v>
      </c>
      <c r="B20" s="33" t="s">
        <v>131</v>
      </c>
      <c r="C20" s="33">
        <v>140</v>
      </c>
      <c r="D20" s="33" t="s">
        <v>38</v>
      </c>
    </row>
    <row r="21" spans="1:4" x14ac:dyDescent="0.3">
      <c r="A21" s="36">
        <v>44939</v>
      </c>
      <c r="B21" s="34" t="s">
        <v>130</v>
      </c>
      <c r="C21" s="34">
        <v>120</v>
      </c>
      <c r="D21" s="34" t="s">
        <v>9</v>
      </c>
    </row>
    <row r="22" spans="1:4" x14ac:dyDescent="0.3">
      <c r="A22" s="35">
        <v>44939</v>
      </c>
      <c r="B22" s="33" t="s">
        <v>129</v>
      </c>
      <c r="C22" s="33">
        <v>100</v>
      </c>
      <c r="D22" s="33" t="s">
        <v>15</v>
      </c>
    </row>
    <row r="23" spans="1:4" x14ac:dyDescent="0.3">
      <c r="A23" s="36">
        <v>44939</v>
      </c>
      <c r="B23" s="34" t="s">
        <v>128</v>
      </c>
      <c r="C23" s="34">
        <v>80</v>
      </c>
      <c r="D23" s="34" t="s">
        <v>39</v>
      </c>
    </row>
    <row r="24" spans="1:4" x14ac:dyDescent="0.3">
      <c r="A24" s="35">
        <v>44927</v>
      </c>
      <c r="B24" s="33" t="s">
        <v>127</v>
      </c>
      <c r="C24" s="33">
        <v>60</v>
      </c>
      <c r="D24" s="33" t="s">
        <v>38</v>
      </c>
    </row>
    <row r="25" spans="1:4" x14ac:dyDescent="0.3">
      <c r="A25" s="36">
        <v>44939</v>
      </c>
      <c r="B25" s="34" t="s">
        <v>126</v>
      </c>
      <c r="C25" s="34">
        <v>40</v>
      </c>
      <c r="D25" s="34" t="s">
        <v>9</v>
      </c>
    </row>
    <row r="26" spans="1:4" x14ac:dyDescent="0.3">
      <c r="A26" s="38">
        <v>44939</v>
      </c>
      <c r="B26" s="39" t="s">
        <v>123</v>
      </c>
      <c r="C26" s="39">
        <v>20</v>
      </c>
      <c r="D26" s="39" t="s">
        <v>15</v>
      </c>
    </row>
  </sheetData>
  <conditionalFormatting sqref="C2:C26">
    <cfRule type="colorScale" priority="1">
      <colorScale>
        <cfvo type="min"/>
        <cfvo type="percentile" val="50"/>
        <cfvo type="max"/>
        <color rgb="FFF8696B"/>
        <color rgb="FFFFEB84"/>
        <color rgb="FF63BE7B"/>
      </colorScale>
    </cfRule>
  </conditionalFormatting>
  <dataValidations disablePrompts="1" count="4">
    <dataValidation type="date" allowBlank="1" showInputMessage="1" showErrorMessage="1" sqref="A2:A26" xr:uid="{1C8A25A5-A77C-4EAE-A2E2-0B8B052E142F}">
      <formula1>44927</formula1>
      <formula2>45290</formula2>
    </dataValidation>
    <dataValidation type="textLength" allowBlank="1" showInputMessage="1" showErrorMessage="1" sqref="B2 B9 B16 B23" xr:uid="{58146BE7-2619-4914-A235-EEE82F539938}">
      <formula1>2</formula1>
      <formula2>20</formula2>
    </dataValidation>
    <dataValidation type="whole" allowBlank="1" showInputMessage="1" showErrorMessage="1" sqref="C2:C26" xr:uid="{BA94CE2B-559D-4676-AC89-C2814BA5A011}">
      <formula1>10</formula1>
      <formula2>50000</formula2>
    </dataValidation>
    <dataValidation type="list" allowBlank="1" showInputMessage="1" showErrorMessage="1" sqref="D1:D26" xr:uid="{F1FFC6DF-198F-4F9D-B551-32DA552C5A7B}">
      <formula1>"cash,error,fail,UPI"</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9" r:id="rId3" name="Button 5">
              <controlPr defaultSize="0" print="0" autoFill="0" autoPict="0" macro="[0]!highlight_top_bottam_red_green">
                <anchor moveWithCells="1">
                  <from>
                    <xdr:col>7</xdr:col>
                    <xdr:colOff>281940</xdr:colOff>
                    <xdr:row>7</xdr:row>
                    <xdr:rowOff>99060</xdr:rowOff>
                  </from>
                  <to>
                    <xdr:col>8</xdr:col>
                    <xdr:colOff>190500</xdr:colOff>
                    <xdr:row>8</xdr:row>
                    <xdr:rowOff>137160</xdr:rowOff>
                  </to>
                </anchor>
              </controlPr>
            </control>
          </mc:Choice>
        </mc:AlternateContent>
      </controls>
    </mc:Choice>
  </mc:AlternateContent>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50CA-9C8F-4461-9424-FC89AFC4E1FC}">
  <dimension ref="A1:F14"/>
  <sheetViews>
    <sheetView workbookViewId="0">
      <selection activeCell="C13" sqref="C13"/>
    </sheetView>
  </sheetViews>
  <sheetFormatPr defaultRowHeight="14.4" x14ac:dyDescent="0.3"/>
  <cols>
    <col min="1" max="1" width="10.109375" bestFit="1" customWidth="1"/>
    <col min="2" max="2" width="10.6640625" bestFit="1" customWidth="1"/>
    <col min="5" max="5" width="10.5546875" bestFit="1" customWidth="1"/>
  </cols>
  <sheetData>
    <row r="1" spans="1:6" x14ac:dyDescent="0.3">
      <c r="A1" s="54" t="s">
        <v>290</v>
      </c>
      <c r="B1" s="54" t="s">
        <v>292</v>
      </c>
      <c r="C1" s="54" t="s">
        <v>295</v>
      </c>
      <c r="D1" s="54" t="s">
        <v>297</v>
      </c>
      <c r="E1" s="54" t="s">
        <v>300</v>
      </c>
      <c r="F1" s="54" t="s">
        <v>303</v>
      </c>
    </row>
    <row r="2" spans="1:6" x14ac:dyDescent="0.3">
      <c r="A2" s="54" t="s">
        <v>291</v>
      </c>
      <c r="B2" s="54" t="s">
        <v>293</v>
      </c>
      <c r="C2" s="54" t="s">
        <v>296</v>
      </c>
      <c r="D2" s="54" t="s">
        <v>298</v>
      </c>
      <c r="E2" s="54" t="s">
        <v>301</v>
      </c>
      <c r="F2" s="54" t="s">
        <v>304</v>
      </c>
    </row>
    <row r="3" spans="1:6" x14ac:dyDescent="0.3">
      <c r="A3" s="54" t="s">
        <v>289</v>
      </c>
      <c r="B3" s="54">
        <v>55000</v>
      </c>
      <c r="C3" s="54">
        <v>25000</v>
      </c>
      <c r="D3" s="54">
        <v>8500</v>
      </c>
      <c r="E3" s="54">
        <v>450</v>
      </c>
      <c r="F3" s="54">
        <v>120</v>
      </c>
    </row>
    <row r="5" spans="1:6" x14ac:dyDescent="0.3">
      <c r="B5" s="67" t="s">
        <v>287</v>
      </c>
    </row>
    <row r="6" spans="1:6" x14ac:dyDescent="0.3">
      <c r="A6" t="s">
        <v>297</v>
      </c>
      <c r="B6" t="str">
        <f>HLOOKUP(A6,A1:F3,2)</f>
        <v>Office Chair</v>
      </c>
      <c r="C6" t="str">
        <f>HLOOKUP(A6,B1:F2,2,FALSE)</f>
        <v>Office Chair</v>
      </c>
    </row>
    <row r="8" spans="1:6" x14ac:dyDescent="0.3">
      <c r="A8" t="s">
        <v>303</v>
      </c>
      <c r="B8">
        <f>HLOOKUP(A8,A1:F4,3)</f>
        <v>120</v>
      </c>
      <c r="C8">
        <f>HLOOKUP(A8,B1:F3,3,FALSE)</f>
        <v>120</v>
      </c>
    </row>
    <row r="9" spans="1:6" x14ac:dyDescent="0.3">
      <c r="A9" t="s">
        <v>311</v>
      </c>
      <c r="B9">
        <f>HLOOKUP(A9,A1:F3,3)</f>
        <v>25000</v>
      </c>
      <c r="C9">
        <f>HLOOKUP(A9,B1:F3,3,FALSE)</f>
        <v>25000</v>
      </c>
    </row>
    <row r="11" spans="1:6" x14ac:dyDescent="0.3">
      <c r="B11" t="s">
        <v>313</v>
      </c>
    </row>
    <row r="12" spans="1:6" x14ac:dyDescent="0.3">
      <c r="A12" t="s">
        <v>312</v>
      </c>
      <c r="B12">
        <f>HLOOKUP("P104", A1:F3, MATCH("Price (₹)", A1:A3, 0), FALSE)</f>
        <v>450</v>
      </c>
      <c r="C12">
        <f>HLOOKUP(A12,B1:F3,3,0)</f>
        <v>450</v>
      </c>
    </row>
    <row r="13" spans="1:6" x14ac:dyDescent="0.3">
      <c r="A13" t="s">
        <v>312</v>
      </c>
      <c r="B13">
        <f>HLOOKUP(A13,A1:F3,MATCH(A3,A1:A3,0),FALSE)</f>
        <v>450</v>
      </c>
      <c r="C13">
        <f>HLOOKUP(A13,B1:F3,3,FALSE)</f>
        <v>450</v>
      </c>
    </row>
    <row r="14" spans="1:6" x14ac:dyDescent="0.3">
      <c r="A14" t="s">
        <v>314</v>
      </c>
      <c r="B14" t="str">
        <f>IFERROR(HLOOKUP(A14,A1:F3,2,FALSE),"Not found")</f>
        <v>Not found</v>
      </c>
      <c r="C14" t="str">
        <f>IFERROR(HLOOKUP(A14,A1:F3,2,FALSE),"not found")</f>
        <v>not found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BA27-108C-4DE5-B322-38D93718F926}">
  <dimension ref="A1:H17"/>
  <sheetViews>
    <sheetView workbookViewId="0">
      <selection activeCell="C8" sqref="C8"/>
    </sheetView>
  </sheetViews>
  <sheetFormatPr defaultRowHeight="14.4" x14ac:dyDescent="0.3"/>
  <cols>
    <col min="1" max="1" width="8.5546875" customWidth="1"/>
    <col min="2" max="2" width="11.77734375" bestFit="1" customWidth="1"/>
    <col min="3" max="3" width="9.44140625" customWidth="1"/>
    <col min="4" max="4" width="13.21875" customWidth="1"/>
    <col min="5" max="5" width="14" customWidth="1"/>
    <col min="6" max="6" width="15" customWidth="1"/>
    <col min="7" max="7" width="14" customWidth="1"/>
  </cols>
  <sheetData>
    <row r="1" spans="1:8" ht="15" thickBot="1" x14ac:dyDescent="0.35">
      <c r="A1" s="61" t="s">
        <v>315</v>
      </c>
      <c r="B1" s="62" t="s">
        <v>316</v>
      </c>
      <c r="C1" s="62" t="s">
        <v>317</v>
      </c>
      <c r="D1" s="62" t="s">
        <v>318</v>
      </c>
      <c r="E1" s="62" t="s">
        <v>319</v>
      </c>
      <c r="F1" s="62" t="s">
        <v>320</v>
      </c>
      <c r="G1" s="63" t="s">
        <v>321</v>
      </c>
    </row>
    <row r="2" spans="1:8" ht="15" thickBot="1" x14ac:dyDescent="0.35">
      <c r="A2" s="59">
        <v>1</v>
      </c>
      <c r="B2" s="58" t="s">
        <v>290</v>
      </c>
      <c r="C2" s="58" t="s">
        <v>292</v>
      </c>
      <c r="D2" s="58" t="s">
        <v>295</v>
      </c>
      <c r="E2" s="58" t="s">
        <v>297</v>
      </c>
      <c r="F2" s="58" t="s">
        <v>300</v>
      </c>
      <c r="G2" s="60" t="s">
        <v>303</v>
      </c>
    </row>
    <row r="3" spans="1:8" ht="15" thickBot="1" x14ac:dyDescent="0.35">
      <c r="A3" s="59">
        <v>2</v>
      </c>
      <c r="B3" s="58" t="s">
        <v>291</v>
      </c>
      <c r="C3" s="58" t="s">
        <v>293</v>
      </c>
      <c r="D3" s="58" t="s">
        <v>296</v>
      </c>
      <c r="E3" s="58" t="s">
        <v>298</v>
      </c>
      <c r="F3" s="58" t="s">
        <v>301</v>
      </c>
      <c r="G3" s="60" t="s">
        <v>304</v>
      </c>
    </row>
    <row r="4" spans="1:8" x14ac:dyDescent="0.3">
      <c r="A4" s="64">
        <v>3</v>
      </c>
      <c r="B4" s="65" t="s">
        <v>289</v>
      </c>
      <c r="C4" s="65">
        <v>55000</v>
      </c>
      <c r="D4" s="65">
        <v>25000</v>
      </c>
      <c r="E4" s="65">
        <v>8500</v>
      </c>
      <c r="F4" s="65">
        <v>450</v>
      </c>
      <c r="G4" s="66">
        <v>120</v>
      </c>
    </row>
    <row r="7" spans="1:8" x14ac:dyDescent="0.3">
      <c r="B7" s="70" t="s">
        <v>322</v>
      </c>
      <c r="C7" s="70"/>
      <c r="E7" s="70" t="s">
        <v>325</v>
      </c>
      <c r="F7" s="70"/>
      <c r="G7" s="70"/>
    </row>
    <row r="8" spans="1:8" x14ac:dyDescent="0.3">
      <c r="C8">
        <f>COUNTIF(Table23[[Col A]:[Col F]],"&gt;50000")</f>
        <v>1</v>
      </c>
      <c r="F8" s="1">
        <f>COUNTIF(Table23[[Col A]:[Col F]],"&lt;=1000")</f>
        <v>2</v>
      </c>
      <c r="G8">
        <f>COUNTIF(C4:G4,"&lt;=1000")</f>
        <v>2</v>
      </c>
    </row>
    <row r="9" spans="1:8" x14ac:dyDescent="0.3">
      <c r="C9" t="s">
        <v>323</v>
      </c>
      <c r="E9" s="1"/>
      <c r="F9" s="1"/>
    </row>
    <row r="10" spans="1:8" x14ac:dyDescent="0.3">
      <c r="C10">
        <f>COUNTIF(Table23[[Col A]:[Col F]],"&gt;24000")</f>
        <v>2</v>
      </c>
      <c r="E10" s="70" t="s">
        <v>327</v>
      </c>
      <c r="F10" s="70"/>
      <c r="G10" s="70"/>
    </row>
    <row r="11" spans="1:8" x14ac:dyDescent="0.3">
      <c r="C11" t="s">
        <v>324</v>
      </c>
      <c r="F11" s="1">
        <f>COUNTIF(Table23[[Col A]:[Col F]],"laptop")</f>
        <v>1</v>
      </c>
      <c r="G11" s="1">
        <f>COUNTIF(C3:G3,"laptop")</f>
        <v>1</v>
      </c>
    </row>
    <row r="12" spans="1:8" x14ac:dyDescent="0.3">
      <c r="C12">
        <f>COUNTIF(Table23[[Col A]:[Col F]],"&gt;8000")</f>
        <v>3</v>
      </c>
      <c r="E12" s="1"/>
      <c r="F12" s="1"/>
    </row>
    <row r="13" spans="1:8" x14ac:dyDescent="0.3">
      <c r="C13" t="s">
        <v>326</v>
      </c>
      <c r="E13" s="70" t="s">
        <v>328</v>
      </c>
      <c r="F13" s="70"/>
      <c r="G13" s="70"/>
    </row>
    <row r="14" spans="1:8" x14ac:dyDescent="0.3">
      <c r="C14">
        <f>COUNTIF(B4:G4,"&gt;5000")</f>
        <v>3</v>
      </c>
      <c r="F14" s="1">
        <f>COUNTIF(Table23[[Col A]:[Col F]],"s*")</f>
        <v>1</v>
      </c>
      <c r="G14" s="1">
        <f>COUNTIF(C3:G3,"s*")</f>
        <v>1</v>
      </c>
    </row>
    <row r="16" spans="1:8" x14ac:dyDescent="0.3">
      <c r="E16" s="70" t="s">
        <v>329</v>
      </c>
      <c r="F16" s="70"/>
      <c r="G16" s="70"/>
      <c r="H16" s="70"/>
    </row>
    <row r="17" spans="6:8" x14ac:dyDescent="0.3">
      <c r="F17" s="1">
        <f>COUNTIF(C4:G4,"&lt;&gt;450")</f>
        <v>4</v>
      </c>
      <c r="G17" s="1">
        <f>COUNTIF(C4:G4,"&lt;&gt;450")</f>
        <v>4</v>
      </c>
      <c r="H17" s="1"/>
    </row>
  </sheetData>
  <mergeCells count="5">
    <mergeCell ref="E16:H16"/>
    <mergeCell ref="B7:C7"/>
    <mergeCell ref="E13:G13"/>
    <mergeCell ref="E10:G10"/>
    <mergeCell ref="E7:G7"/>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6020F-2FCB-4017-9DF6-2AA06B1AF9BE}">
  <sheetPr codeName="Sheet13"/>
  <dimension ref="A1:F278"/>
  <sheetViews>
    <sheetView workbookViewId="0">
      <selection activeCell="L7" sqref="L7"/>
    </sheetView>
  </sheetViews>
  <sheetFormatPr defaultRowHeight="14.4" x14ac:dyDescent="0.3"/>
  <cols>
    <col min="1" max="1" width="13.44140625" customWidth="1"/>
    <col min="2" max="2" width="19.6640625" customWidth="1"/>
    <col min="3" max="3" width="13.44140625" customWidth="1"/>
    <col min="4" max="6" width="10.109375" bestFit="1" customWidth="1"/>
  </cols>
  <sheetData>
    <row r="1" spans="1:6" x14ac:dyDescent="0.3">
      <c r="A1" s="68" t="s">
        <v>154</v>
      </c>
      <c r="B1" s="68" t="s">
        <v>155</v>
      </c>
      <c r="C1" s="68" t="s">
        <v>156</v>
      </c>
      <c r="D1" s="68" t="s">
        <v>157</v>
      </c>
      <c r="E1" s="68" t="s">
        <v>158</v>
      </c>
      <c r="F1" s="68" t="s">
        <v>159</v>
      </c>
    </row>
    <row r="2" spans="1:6" x14ac:dyDescent="0.3">
      <c r="A2" t="s">
        <v>160</v>
      </c>
      <c r="B2" t="s">
        <v>161</v>
      </c>
      <c r="C2" s="31">
        <v>0</v>
      </c>
      <c r="D2" s="31">
        <v>702</v>
      </c>
      <c r="E2" s="31">
        <v>0</v>
      </c>
      <c r="F2" s="31">
        <v>0</v>
      </c>
    </row>
    <row r="3" spans="1:6" x14ac:dyDescent="0.3">
      <c r="A3" t="s">
        <v>160</v>
      </c>
      <c r="B3" t="s">
        <v>162</v>
      </c>
      <c r="C3" s="31">
        <v>312</v>
      </c>
      <c r="D3" s="31">
        <v>0</v>
      </c>
      <c r="E3" s="31">
        <v>0</v>
      </c>
      <c r="F3" s="31">
        <v>0</v>
      </c>
    </row>
    <row r="4" spans="1:6" x14ac:dyDescent="0.3">
      <c r="A4" t="s">
        <v>160</v>
      </c>
      <c r="B4" t="s">
        <v>163</v>
      </c>
      <c r="C4" s="31">
        <v>0</v>
      </c>
      <c r="D4" s="31">
        <v>0</v>
      </c>
      <c r="E4" s="31">
        <v>0</v>
      </c>
      <c r="F4" s="31">
        <v>1170</v>
      </c>
    </row>
    <row r="5" spans="1:6" x14ac:dyDescent="0.3">
      <c r="A5" t="s">
        <v>160</v>
      </c>
      <c r="B5" t="s">
        <v>164</v>
      </c>
      <c r="C5" s="31">
        <v>1170</v>
      </c>
      <c r="D5" s="31">
        <v>0</v>
      </c>
      <c r="E5" s="31">
        <v>0</v>
      </c>
      <c r="F5" s="31">
        <v>0</v>
      </c>
    </row>
    <row r="6" spans="1:6" x14ac:dyDescent="0.3">
      <c r="A6" t="s">
        <v>160</v>
      </c>
      <c r="B6" t="s">
        <v>165</v>
      </c>
      <c r="C6" s="31">
        <v>1123.2</v>
      </c>
      <c r="D6" s="31">
        <v>0</v>
      </c>
      <c r="E6" s="31">
        <v>0</v>
      </c>
      <c r="F6" s="31">
        <v>2607.15</v>
      </c>
    </row>
    <row r="7" spans="1:6" x14ac:dyDescent="0.3">
      <c r="A7" t="s">
        <v>160</v>
      </c>
      <c r="B7" t="s">
        <v>166</v>
      </c>
      <c r="C7" s="31">
        <v>0</v>
      </c>
      <c r="D7" s="31">
        <v>280.8</v>
      </c>
      <c r="E7" s="31">
        <v>0</v>
      </c>
      <c r="F7" s="31">
        <v>0</v>
      </c>
    </row>
    <row r="8" spans="1:6" x14ac:dyDescent="0.3">
      <c r="A8" t="s">
        <v>160</v>
      </c>
      <c r="B8" t="s">
        <v>167</v>
      </c>
      <c r="C8" s="31">
        <v>62.4</v>
      </c>
      <c r="D8" s="31">
        <v>0</v>
      </c>
      <c r="E8" s="31">
        <v>0</v>
      </c>
      <c r="F8" s="31">
        <v>0</v>
      </c>
    </row>
    <row r="9" spans="1:6" x14ac:dyDescent="0.3">
      <c r="A9" t="s">
        <v>160</v>
      </c>
      <c r="B9" t="s">
        <v>168</v>
      </c>
      <c r="C9" s="31">
        <v>0</v>
      </c>
      <c r="D9" s="31">
        <v>1560</v>
      </c>
      <c r="E9" s="31">
        <v>936</v>
      </c>
      <c r="F9" s="31">
        <v>0</v>
      </c>
    </row>
    <row r="10" spans="1:6" x14ac:dyDescent="0.3">
      <c r="A10" t="s">
        <v>160</v>
      </c>
      <c r="B10" t="s">
        <v>169</v>
      </c>
      <c r="C10" s="31">
        <v>0</v>
      </c>
      <c r="D10" s="31">
        <v>592.79999999999995</v>
      </c>
      <c r="E10" s="31">
        <v>0</v>
      </c>
      <c r="F10" s="31">
        <v>0</v>
      </c>
    </row>
    <row r="11" spans="1:6" x14ac:dyDescent="0.3">
      <c r="A11" t="s">
        <v>160</v>
      </c>
      <c r="B11" t="s">
        <v>170</v>
      </c>
      <c r="C11" s="31">
        <v>0</v>
      </c>
      <c r="D11" s="31">
        <v>0</v>
      </c>
      <c r="E11" s="31">
        <v>0</v>
      </c>
      <c r="F11" s="31">
        <v>741</v>
      </c>
    </row>
    <row r="12" spans="1:6" x14ac:dyDescent="0.3">
      <c r="A12" t="s">
        <v>160</v>
      </c>
      <c r="B12" t="s">
        <v>171</v>
      </c>
      <c r="C12" s="31">
        <v>0</v>
      </c>
      <c r="D12" s="31">
        <v>0</v>
      </c>
      <c r="E12" s="31">
        <v>3900</v>
      </c>
      <c r="F12" s="31">
        <v>789.75</v>
      </c>
    </row>
    <row r="13" spans="1:6" x14ac:dyDescent="0.3">
      <c r="A13" t="s">
        <v>160</v>
      </c>
      <c r="B13" t="s">
        <v>172</v>
      </c>
      <c r="C13" s="31">
        <v>0</v>
      </c>
      <c r="D13" s="31">
        <v>877.5</v>
      </c>
      <c r="E13" s="31">
        <v>0</v>
      </c>
      <c r="F13" s="31">
        <v>0</v>
      </c>
    </row>
    <row r="14" spans="1:6" x14ac:dyDescent="0.3">
      <c r="A14" t="s">
        <v>160</v>
      </c>
      <c r="B14" t="s">
        <v>173</v>
      </c>
      <c r="C14" s="31">
        <v>0</v>
      </c>
      <c r="D14" s="31">
        <v>0</v>
      </c>
      <c r="E14" s="31">
        <v>0</v>
      </c>
      <c r="F14" s="31">
        <v>780</v>
      </c>
    </row>
    <row r="15" spans="1:6" x14ac:dyDescent="0.3">
      <c r="A15" t="s">
        <v>174</v>
      </c>
      <c r="B15" t="s">
        <v>175</v>
      </c>
      <c r="C15" s="31">
        <v>0</v>
      </c>
      <c r="D15" s="31">
        <v>0</v>
      </c>
      <c r="E15" s="31">
        <v>0</v>
      </c>
      <c r="F15" s="31">
        <v>60</v>
      </c>
    </row>
    <row r="16" spans="1:6" x14ac:dyDescent="0.3">
      <c r="A16" t="s">
        <v>174</v>
      </c>
      <c r="B16" t="s">
        <v>164</v>
      </c>
      <c r="C16" s="31">
        <v>0</v>
      </c>
      <c r="D16" s="31">
        <v>0</v>
      </c>
      <c r="E16" s="31">
        <v>0</v>
      </c>
      <c r="F16" s="31">
        <v>200</v>
      </c>
    </row>
    <row r="17" spans="1:6" x14ac:dyDescent="0.3">
      <c r="A17" t="s">
        <v>174</v>
      </c>
      <c r="B17" t="s">
        <v>165</v>
      </c>
      <c r="C17" s="31">
        <v>0</v>
      </c>
      <c r="D17" s="31">
        <v>0</v>
      </c>
      <c r="E17" s="31">
        <v>0</v>
      </c>
      <c r="F17" s="31">
        <v>180</v>
      </c>
    </row>
    <row r="18" spans="1:6" x14ac:dyDescent="0.3">
      <c r="A18" t="s">
        <v>174</v>
      </c>
      <c r="B18" t="s">
        <v>176</v>
      </c>
      <c r="C18" s="31">
        <v>544</v>
      </c>
      <c r="D18" s="31">
        <v>0</v>
      </c>
      <c r="E18" s="31">
        <v>0</v>
      </c>
      <c r="F18" s="31">
        <v>0</v>
      </c>
    </row>
    <row r="19" spans="1:6" x14ac:dyDescent="0.3">
      <c r="A19" t="s">
        <v>174</v>
      </c>
      <c r="B19" t="s">
        <v>177</v>
      </c>
      <c r="C19" s="31">
        <v>0</v>
      </c>
      <c r="D19" s="31">
        <v>600</v>
      </c>
      <c r="E19" s="31">
        <v>0</v>
      </c>
      <c r="F19" s="31">
        <v>0</v>
      </c>
    </row>
    <row r="20" spans="1:6" x14ac:dyDescent="0.3">
      <c r="A20" t="s">
        <v>174</v>
      </c>
      <c r="B20" t="s">
        <v>178</v>
      </c>
      <c r="C20" s="31">
        <v>0</v>
      </c>
      <c r="D20" s="31">
        <v>0</v>
      </c>
      <c r="E20" s="31">
        <v>140</v>
      </c>
      <c r="F20" s="31">
        <v>0</v>
      </c>
    </row>
    <row r="21" spans="1:6" x14ac:dyDescent="0.3">
      <c r="A21" t="s">
        <v>179</v>
      </c>
      <c r="B21" t="s">
        <v>161</v>
      </c>
      <c r="C21" s="31">
        <v>0</v>
      </c>
      <c r="D21" s="31">
        <v>165.6</v>
      </c>
      <c r="E21" s="31">
        <v>0</v>
      </c>
      <c r="F21" s="31">
        <v>0</v>
      </c>
    </row>
    <row r="22" spans="1:6" x14ac:dyDescent="0.3">
      <c r="A22" t="s">
        <v>179</v>
      </c>
      <c r="B22" t="s">
        <v>162</v>
      </c>
      <c r="C22" s="31">
        <v>0</v>
      </c>
      <c r="D22" s="31">
        <v>920</v>
      </c>
      <c r="E22" s="31">
        <v>0</v>
      </c>
      <c r="F22" s="31">
        <v>0</v>
      </c>
    </row>
    <row r="23" spans="1:6" x14ac:dyDescent="0.3">
      <c r="A23" t="s">
        <v>179</v>
      </c>
      <c r="B23" t="s">
        <v>180</v>
      </c>
      <c r="C23" s="31">
        <v>0</v>
      </c>
      <c r="D23" s="31">
        <v>248.4</v>
      </c>
      <c r="E23" s="31">
        <v>524.4</v>
      </c>
      <c r="F23" s="31">
        <v>0</v>
      </c>
    </row>
    <row r="24" spans="1:6" x14ac:dyDescent="0.3">
      <c r="A24" t="s">
        <v>179</v>
      </c>
      <c r="B24" t="s">
        <v>164</v>
      </c>
      <c r="C24" s="31">
        <v>551.25</v>
      </c>
      <c r="D24" s="31">
        <v>0</v>
      </c>
      <c r="E24" s="31">
        <v>0</v>
      </c>
      <c r="F24" s="31">
        <v>0</v>
      </c>
    </row>
    <row r="25" spans="1:6" x14ac:dyDescent="0.3">
      <c r="A25" t="s">
        <v>179</v>
      </c>
      <c r="B25" t="s">
        <v>181</v>
      </c>
      <c r="C25" s="31">
        <v>147</v>
      </c>
      <c r="D25" s="31">
        <v>0</v>
      </c>
      <c r="E25" s="31">
        <v>0</v>
      </c>
      <c r="F25" s="31">
        <v>0</v>
      </c>
    </row>
    <row r="26" spans="1:6" x14ac:dyDescent="0.3">
      <c r="A26" t="s">
        <v>179</v>
      </c>
      <c r="B26" t="s">
        <v>182</v>
      </c>
      <c r="C26" s="31">
        <v>0</v>
      </c>
      <c r="D26" s="31">
        <v>0</v>
      </c>
      <c r="E26" s="31">
        <v>0</v>
      </c>
      <c r="F26" s="31">
        <v>18.399999999999999</v>
      </c>
    </row>
    <row r="27" spans="1:6" x14ac:dyDescent="0.3">
      <c r="A27" t="s">
        <v>179</v>
      </c>
      <c r="B27" t="s">
        <v>183</v>
      </c>
      <c r="C27" s="31">
        <v>0</v>
      </c>
      <c r="D27" s="31">
        <v>92</v>
      </c>
      <c r="E27" s="31">
        <v>1104</v>
      </c>
      <c r="F27" s="31">
        <v>0</v>
      </c>
    </row>
    <row r="28" spans="1:6" x14ac:dyDescent="0.3">
      <c r="A28" t="s">
        <v>179</v>
      </c>
      <c r="B28" t="s">
        <v>184</v>
      </c>
      <c r="C28" s="31">
        <v>147</v>
      </c>
      <c r="D28" s="31">
        <v>0</v>
      </c>
      <c r="E28" s="31">
        <v>0</v>
      </c>
      <c r="F28" s="31">
        <v>0</v>
      </c>
    </row>
    <row r="29" spans="1:6" x14ac:dyDescent="0.3">
      <c r="A29" t="s">
        <v>179</v>
      </c>
      <c r="B29" t="s">
        <v>185</v>
      </c>
      <c r="C29" s="31">
        <v>0</v>
      </c>
      <c r="D29" s="31">
        <v>515.20000000000005</v>
      </c>
      <c r="E29" s="31">
        <v>0</v>
      </c>
      <c r="F29" s="31">
        <v>0</v>
      </c>
    </row>
    <row r="30" spans="1:6" x14ac:dyDescent="0.3">
      <c r="A30" t="s">
        <v>179</v>
      </c>
      <c r="B30" t="s">
        <v>186</v>
      </c>
      <c r="C30" s="31">
        <v>0</v>
      </c>
      <c r="D30" s="31">
        <v>0</v>
      </c>
      <c r="E30" s="31">
        <v>0</v>
      </c>
      <c r="F30" s="31">
        <v>55.2</v>
      </c>
    </row>
    <row r="31" spans="1:6" x14ac:dyDescent="0.3">
      <c r="A31" t="s">
        <v>179</v>
      </c>
      <c r="B31" t="s">
        <v>187</v>
      </c>
      <c r="C31" s="31">
        <v>0</v>
      </c>
      <c r="D31" s="31">
        <v>0</v>
      </c>
      <c r="E31" s="31">
        <v>368</v>
      </c>
      <c r="F31" s="31">
        <v>0</v>
      </c>
    </row>
    <row r="32" spans="1:6" x14ac:dyDescent="0.3">
      <c r="A32" t="s">
        <v>179</v>
      </c>
      <c r="B32" t="s">
        <v>188</v>
      </c>
      <c r="C32" s="31">
        <v>308.7</v>
      </c>
      <c r="D32" s="31">
        <v>0</v>
      </c>
      <c r="E32" s="31">
        <v>0</v>
      </c>
      <c r="F32" s="31">
        <v>0</v>
      </c>
    </row>
    <row r="33" spans="1:6" x14ac:dyDescent="0.3">
      <c r="A33" t="s">
        <v>179</v>
      </c>
      <c r="B33" t="s">
        <v>189</v>
      </c>
      <c r="C33" s="31">
        <v>26.46</v>
      </c>
      <c r="D33" s="31">
        <v>0</v>
      </c>
      <c r="E33" s="31">
        <v>419.52</v>
      </c>
      <c r="F33" s="31">
        <v>110.4</v>
      </c>
    </row>
    <row r="34" spans="1:6" x14ac:dyDescent="0.3">
      <c r="A34" t="s">
        <v>179</v>
      </c>
      <c r="B34" t="s">
        <v>177</v>
      </c>
      <c r="C34" s="31">
        <v>0</v>
      </c>
      <c r="D34" s="31">
        <v>0</v>
      </c>
      <c r="E34" s="31">
        <v>1223.5999999999999</v>
      </c>
      <c r="F34" s="31">
        <v>0</v>
      </c>
    </row>
    <row r="35" spans="1:6" x14ac:dyDescent="0.3">
      <c r="A35" t="s">
        <v>179</v>
      </c>
      <c r="B35" t="s">
        <v>190</v>
      </c>
      <c r="C35" s="31">
        <v>294</v>
      </c>
      <c r="D35" s="31">
        <v>0</v>
      </c>
      <c r="E35" s="31">
        <v>0</v>
      </c>
      <c r="F35" s="31">
        <v>0</v>
      </c>
    </row>
    <row r="36" spans="1:6" x14ac:dyDescent="0.3">
      <c r="A36" t="s">
        <v>179</v>
      </c>
      <c r="B36" t="s">
        <v>171</v>
      </c>
      <c r="C36" s="31">
        <v>0</v>
      </c>
      <c r="D36" s="31">
        <v>0</v>
      </c>
      <c r="E36" s="31">
        <v>772.8</v>
      </c>
      <c r="F36" s="31">
        <v>736</v>
      </c>
    </row>
    <row r="37" spans="1:6" x14ac:dyDescent="0.3">
      <c r="A37" t="s">
        <v>179</v>
      </c>
      <c r="B37" t="s">
        <v>191</v>
      </c>
      <c r="C37" s="31">
        <v>0</v>
      </c>
      <c r="D37" s="31">
        <v>36.799999999999997</v>
      </c>
      <c r="E37" s="31">
        <v>0</v>
      </c>
      <c r="F37" s="31">
        <v>0</v>
      </c>
    </row>
    <row r="38" spans="1:6" x14ac:dyDescent="0.3">
      <c r="A38" t="s">
        <v>179</v>
      </c>
      <c r="B38" t="s">
        <v>178</v>
      </c>
      <c r="C38" s="31">
        <v>294</v>
      </c>
      <c r="D38" s="31">
        <v>0</v>
      </c>
      <c r="E38" s="31">
        <v>0</v>
      </c>
      <c r="F38" s="31">
        <v>736</v>
      </c>
    </row>
    <row r="39" spans="1:6" x14ac:dyDescent="0.3">
      <c r="A39" t="s">
        <v>192</v>
      </c>
      <c r="B39" t="s">
        <v>193</v>
      </c>
      <c r="C39" s="31">
        <v>0</v>
      </c>
      <c r="D39" s="31">
        <v>0</v>
      </c>
      <c r="E39" s="31">
        <v>340</v>
      </c>
      <c r="F39" s="31">
        <v>0</v>
      </c>
    </row>
    <row r="40" spans="1:6" x14ac:dyDescent="0.3">
      <c r="A40" t="s">
        <v>192</v>
      </c>
      <c r="B40" t="s">
        <v>194</v>
      </c>
      <c r="C40" s="31">
        <v>0</v>
      </c>
      <c r="D40" s="31">
        <v>0</v>
      </c>
      <c r="E40" s="31">
        <v>0</v>
      </c>
      <c r="F40" s="31">
        <v>510</v>
      </c>
    </row>
    <row r="41" spans="1:6" x14ac:dyDescent="0.3">
      <c r="A41" t="s">
        <v>192</v>
      </c>
      <c r="B41" t="s">
        <v>162</v>
      </c>
      <c r="C41" s="31">
        <v>0</v>
      </c>
      <c r="D41" s="31">
        <v>0</v>
      </c>
      <c r="E41" s="31">
        <v>680</v>
      </c>
      <c r="F41" s="31">
        <v>0</v>
      </c>
    </row>
    <row r="42" spans="1:6" x14ac:dyDescent="0.3">
      <c r="A42" t="s">
        <v>192</v>
      </c>
      <c r="B42" t="s">
        <v>164</v>
      </c>
      <c r="C42" s="31">
        <v>0</v>
      </c>
      <c r="D42" s="31">
        <v>0</v>
      </c>
      <c r="E42" s="31">
        <v>0</v>
      </c>
      <c r="F42" s="31">
        <v>1700</v>
      </c>
    </row>
    <row r="43" spans="1:6" x14ac:dyDescent="0.3">
      <c r="A43" t="s">
        <v>192</v>
      </c>
      <c r="B43" t="s">
        <v>195</v>
      </c>
      <c r="C43" s="31">
        <v>0</v>
      </c>
      <c r="D43" s="31">
        <v>323</v>
      </c>
      <c r="E43" s="31">
        <v>0</v>
      </c>
      <c r="F43" s="31">
        <v>0</v>
      </c>
    </row>
    <row r="44" spans="1:6" x14ac:dyDescent="0.3">
      <c r="A44" t="s">
        <v>192</v>
      </c>
      <c r="B44" t="s">
        <v>196</v>
      </c>
      <c r="C44" s="31">
        <v>0</v>
      </c>
      <c r="D44" s="31">
        <v>346.8</v>
      </c>
      <c r="E44" s="31">
        <v>0</v>
      </c>
      <c r="F44" s="31">
        <v>0</v>
      </c>
    </row>
    <row r="45" spans="1:6" x14ac:dyDescent="0.3">
      <c r="A45" t="s">
        <v>192</v>
      </c>
      <c r="B45" t="s">
        <v>197</v>
      </c>
      <c r="C45" s="31">
        <v>0</v>
      </c>
      <c r="D45" s="31">
        <v>0</v>
      </c>
      <c r="E45" s="31">
        <v>612</v>
      </c>
      <c r="F45" s="31">
        <v>0</v>
      </c>
    </row>
    <row r="46" spans="1:6" x14ac:dyDescent="0.3">
      <c r="A46" t="s">
        <v>192</v>
      </c>
      <c r="B46" t="s">
        <v>198</v>
      </c>
      <c r="C46" s="31">
        <v>544</v>
      </c>
      <c r="D46" s="31">
        <v>0</v>
      </c>
      <c r="E46" s="31">
        <v>0</v>
      </c>
      <c r="F46" s="31">
        <v>0</v>
      </c>
    </row>
    <row r="47" spans="1:6" x14ac:dyDescent="0.3">
      <c r="A47" t="s">
        <v>192</v>
      </c>
      <c r="B47" t="s">
        <v>199</v>
      </c>
      <c r="C47" s="31">
        <v>0</v>
      </c>
      <c r="D47" s="31">
        <v>0</v>
      </c>
      <c r="E47" s="31">
        <v>0</v>
      </c>
      <c r="F47" s="31">
        <v>340</v>
      </c>
    </row>
    <row r="48" spans="1:6" x14ac:dyDescent="0.3">
      <c r="A48" t="s">
        <v>192</v>
      </c>
      <c r="B48" t="s">
        <v>185</v>
      </c>
      <c r="C48" s="31">
        <v>0</v>
      </c>
      <c r="D48" s="31">
        <v>892.5</v>
      </c>
      <c r="E48" s="31">
        <v>0</v>
      </c>
      <c r="F48" s="31">
        <v>0</v>
      </c>
    </row>
    <row r="49" spans="1:6" x14ac:dyDescent="0.3">
      <c r="A49" t="s">
        <v>192</v>
      </c>
      <c r="B49" t="s">
        <v>200</v>
      </c>
      <c r="C49" s="31">
        <v>0</v>
      </c>
      <c r="D49" s="31">
        <v>0</v>
      </c>
      <c r="E49" s="31">
        <v>2261</v>
      </c>
      <c r="F49" s="31">
        <v>0</v>
      </c>
    </row>
    <row r="50" spans="1:6" x14ac:dyDescent="0.3">
      <c r="A50" t="s">
        <v>192</v>
      </c>
      <c r="B50" t="s">
        <v>187</v>
      </c>
      <c r="C50" s="31">
        <v>0</v>
      </c>
      <c r="D50" s="31">
        <v>0</v>
      </c>
      <c r="E50" s="31">
        <v>1020</v>
      </c>
      <c r="F50" s="31">
        <v>0</v>
      </c>
    </row>
    <row r="51" spans="1:6" x14ac:dyDescent="0.3">
      <c r="A51" t="s">
        <v>192</v>
      </c>
      <c r="B51" t="s">
        <v>189</v>
      </c>
      <c r="C51" s="31">
        <v>0</v>
      </c>
      <c r="D51" s="31">
        <v>0</v>
      </c>
      <c r="E51" s="31">
        <v>0</v>
      </c>
      <c r="F51" s="31">
        <v>510</v>
      </c>
    </row>
    <row r="52" spans="1:6" x14ac:dyDescent="0.3">
      <c r="A52" t="s">
        <v>192</v>
      </c>
      <c r="B52" t="s">
        <v>177</v>
      </c>
      <c r="C52" s="31">
        <v>0</v>
      </c>
      <c r="D52" s="31">
        <v>2427.6</v>
      </c>
      <c r="E52" s="31">
        <v>1776.5</v>
      </c>
      <c r="F52" s="31">
        <v>0</v>
      </c>
    </row>
    <row r="53" spans="1:6" x14ac:dyDescent="0.3">
      <c r="A53" t="s">
        <v>192</v>
      </c>
      <c r="B53" t="s">
        <v>201</v>
      </c>
      <c r="C53" s="31">
        <v>1088</v>
      </c>
      <c r="D53" s="31">
        <v>0</v>
      </c>
      <c r="E53" s="31">
        <v>0</v>
      </c>
      <c r="F53" s="31">
        <v>0</v>
      </c>
    </row>
    <row r="54" spans="1:6" x14ac:dyDescent="0.3">
      <c r="A54" t="s">
        <v>192</v>
      </c>
      <c r="B54" t="s">
        <v>202</v>
      </c>
      <c r="C54" s="31">
        <v>1550.4</v>
      </c>
      <c r="D54" s="31">
        <v>0</v>
      </c>
      <c r="E54" s="31">
        <v>0</v>
      </c>
      <c r="F54" s="31">
        <v>0</v>
      </c>
    </row>
    <row r="55" spans="1:6" x14ac:dyDescent="0.3">
      <c r="A55" t="s">
        <v>192</v>
      </c>
      <c r="B55" t="s">
        <v>171</v>
      </c>
      <c r="C55" s="31">
        <v>0</v>
      </c>
      <c r="D55" s="31">
        <v>0</v>
      </c>
      <c r="E55" s="31">
        <v>2380</v>
      </c>
      <c r="F55" s="31">
        <v>0</v>
      </c>
    </row>
    <row r="56" spans="1:6" x14ac:dyDescent="0.3">
      <c r="A56" t="s">
        <v>192</v>
      </c>
      <c r="B56" t="s">
        <v>203</v>
      </c>
      <c r="C56" s="31">
        <v>0</v>
      </c>
      <c r="D56" s="31">
        <v>693.6</v>
      </c>
      <c r="E56" s="31">
        <v>0</v>
      </c>
      <c r="F56" s="31">
        <v>0</v>
      </c>
    </row>
    <row r="57" spans="1:6" x14ac:dyDescent="0.3">
      <c r="A57" t="s">
        <v>192</v>
      </c>
      <c r="B57" t="s">
        <v>204</v>
      </c>
      <c r="C57" s="31">
        <v>0</v>
      </c>
      <c r="D57" s="31">
        <v>0</v>
      </c>
      <c r="E57" s="31">
        <v>510</v>
      </c>
      <c r="F57" s="31">
        <v>0</v>
      </c>
    </row>
    <row r="58" spans="1:6" x14ac:dyDescent="0.3">
      <c r="A58" t="s">
        <v>205</v>
      </c>
      <c r="B58" t="s">
        <v>162</v>
      </c>
      <c r="C58" s="31">
        <v>0</v>
      </c>
      <c r="D58" s="31">
        <v>0</v>
      </c>
      <c r="E58" s="31">
        <v>237.6</v>
      </c>
      <c r="F58" s="31">
        <v>0</v>
      </c>
    </row>
    <row r="59" spans="1:6" x14ac:dyDescent="0.3">
      <c r="A59" t="s">
        <v>205</v>
      </c>
      <c r="B59" t="s">
        <v>180</v>
      </c>
      <c r="C59" s="31">
        <v>0</v>
      </c>
      <c r="D59" s="31">
        <v>935</v>
      </c>
      <c r="E59" s="31">
        <v>0</v>
      </c>
      <c r="F59" s="31">
        <v>0</v>
      </c>
    </row>
    <row r="60" spans="1:6" x14ac:dyDescent="0.3">
      <c r="A60" t="s">
        <v>205</v>
      </c>
      <c r="B60" t="s">
        <v>206</v>
      </c>
      <c r="C60" s="31">
        <v>0</v>
      </c>
      <c r="D60" s="31">
        <v>0</v>
      </c>
      <c r="E60" s="31">
        <v>0</v>
      </c>
      <c r="F60" s="31">
        <v>550</v>
      </c>
    </row>
    <row r="61" spans="1:6" x14ac:dyDescent="0.3">
      <c r="A61" t="s">
        <v>205</v>
      </c>
      <c r="B61" t="s">
        <v>207</v>
      </c>
      <c r="C61" s="31">
        <v>0</v>
      </c>
      <c r="D61" s="31">
        <v>1045</v>
      </c>
      <c r="E61" s="31">
        <v>0</v>
      </c>
      <c r="F61" s="31">
        <v>0</v>
      </c>
    </row>
    <row r="62" spans="1:6" x14ac:dyDescent="0.3">
      <c r="A62" t="s">
        <v>205</v>
      </c>
      <c r="B62" t="s">
        <v>198</v>
      </c>
      <c r="C62" s="31">
        <v>225.28</v>
      </c>
      <c r="D62" s="31">
        <v>0</v>
      </c>
      <c r="E62" s="31">
        <v>0</v>
      </c>
      <c r="F62" s="31">
        <v>0</v>
      </c>
    </row>
    <row r="63" spans="1:6" x14ac:dyDescent="0.3">
      <c r="A63" t="s">
        <v>205</v>
      </c>
      <c r="B63" t="s">
        <v>186</v>
      </c>
      <c r="C63" s="31">
        <v>0</v>
      </c>
      <c r="D63" s="31">
        <v>0</v>
      </c>
      <c r="E63" s="31">
        <v>198</v>
      </c>
      <c r="F63" s="31">
        <v>0</v>
      </c>
    </row>
    <row r="64" spans="1:6" x14ac:dyDescent="0.3">
      <c r="A64" t="s">
        <v>205</v>
      </c>
      <c r="B64" t="s">
        <v>189</v>
      </c>
      <c r="C64" s="31">
        <v>0</v>
      </c>
      <c r="D64" s="31">
        <v>0</v>
      </c>
      <c r="E64" s="31">
        <v>0</v>
      </c>
      <c r="F64" s="31">
        <v>132</v>
      </c>
    </row>
    <row r="65" spans="1:6" x14ac:dyDescent="0.3">
      <c r="A65" t="s">
        <v>205</v>
      </c>
      <c r="B65" t="s">
        <v>177</v>
      </c>
      <c r="C65" s="31">
        <v>0</v>
      </c>
      <c r="D65" s="31">
        <v>990</v>
      </c>
      <c r="E65" s="31">
        <v>0</v>
      </c>
      <c r="F65" s="31">
        <v>0</v>
      </c>
    </row>
    <row r="66" spans="1:6" x14ac:dyDescent="0.3">
      <c r="A66" t="s">
        <v>205</v>
      </c>
      <c r="B66" t="s">
        <v>208</v>
      </c>
      <c r="C66" s="31">
        <v>0</v>
      </c>
      <c r="D66" s="31">
        <v>0</v>
      </c>
      <c r="E66" s="31">
        <v>352</v>
      </c>
      <c r="F66" s="31">
        <v>0</v>
      </c>
    </row>
    <row r="67" spans="1:6" x14ac:dyDescent="0.3">
      <c r="A67" t="s">
        <v>205</v>
      </c>
      <c r="B67" t="s">
        <v>203</v>
      </c>
      <c r="C67" s="31">
        <v>0</v>
      </c>
      <c r="D67" s="31">
        <v>0</v>
      </c>
      <c r="E67" s="31">
        <v>550</v>
      </c>
      <c r="F67" s="31">
        <v>0</v>
      </c>
    </row>
    <row r="68" spans="1:6" x14ac:dyDescent="0.3">
      <c r="A68" t="s">
        <v>209</v>
      </c>
      <c r="B68" t="s">
        <v>186</v>
      </c>
      <c r="C68" s="31">
        <v>0</v>
      </c>
      <c r="D68" s="31">
        <v>0</v>
      </c>
      <c r="E68" s="31">
        <v>288.22000000000003</v>
      </c>
      <c r="F68" s="31">
        <v>0</v>
      </c>
    </row>
    <row r="69" spans="1:6" x14ac:dyDescent="0.3">
      <c r="A69" t="s">
        <v>209</v>
      </c>
      <c r="B69" t="s">
        <v>210</v>
      </c>
      <c r="C69" s="31">
        <v>0</v>
      </c>
      <c r="D69" s="31">
        <v>0</v>
      </c>
      <c r="E69" s="31">
        <v>0</v>
      </c>
      <c r="F69" s="31">
        <v>85.4</v>
      </c>
    </row>
    <row r="70" spans="1:6" x14ac:dyDescent="0.3">
      <c r="A70" t="s">
        <v>211</v>
      </c>
      <c r="B70" t="s">
        <v>194</v>
      </c>
      <c r="C70" s="31">
        <v>0</v>
      </c>
      <c r="D70" s="31">
        <v>210</v>
      </c>
      <c r="E70" s="31">
        <v>0</v>
      </c>
      <c r="F70" s="31">
        <v>56</v>
      </c>
    </row>
    <row r="71" spans="1:6" x14ac:dyDescent="0.3">
      <c r="A71" t="s">
        <v>211</v>
      </c>
      <c r="B71" t="s">
        <v>162</v>
      </c>
      <c r="C71" s="31">
        <v>0</v>
      </c>
      <c r="D71" s="31">
        <v>0</v>
      </c>
      <c r="E71" s="31">
        <v>0</v>
      </c>
      <c r="F71" s="31">
        <v>175</v>
      </c>
    </row>
    <row r="72" spans="1:6" x14ac:dyDescent="0.3">
      <c r="A72" t="s">
        <v>211</v>
      </c>
      <c r="B72" t="s">
        <v>212</v>
      </c>
      <c r="C72" s="31">
        <v>112</v>
      </c>
      <c r="D72" s="31">
        <v>0</v>
      </c>
      <c r="E72" s="31">
        <v>0</v>
      </c>
      <c r="F72" s="31">
        <v>0</v>
      </c>
    </row>
    <row r="73" spans="1:6" x14ac:dyDescent="0.3">
      <c r="A73" t="s">
        <v>211</v>
      </c>
      <c r="B73" t="s">
        <v>213</v>
      </c>
      <c r="C73" s="31">
        <v>0</v>
      </c>
      <c r="D73" s="31">
        <v>0</v>
      </c>
      <c r="E73" s="31">
        <v>63</v>
      </c>
      <c r="F73" s="31">
        <v>0</v>
      </c>
    </row>
    <row r="74" spans="1:6" x14ac:dyDescent="0.3">
      <c r="A74" t="s">
        <v>211</v>
      </c>
      <c r="B74" t="s">
        <v>196</v>
      </c>
      <c r="C74" s="31">
        <v>0</v>
      </c>
      <c r="D74" s="31">
        <v>0</v>
      </c>
      <c r="E74" s="31">
        <v>0</v>
      </c>
      <c r="F74" s="31">
        <v>28</v>
      </c>
    </row>
    <row r="75" spans="1:6" x14ac:dyDescent="0.3">
      <c r="A75" t="s">
        <v>211</v>
      </c>
      <c r="B75" t="s">
        <v>214</v>
      </c>
      <c r="C75" s="31">
        <v>0</v>
      </c>
      <c r="D75" s="31">
        <v>0</v>
      </c>
      <c r="E75" s="31">
        <v>35</v>
      </c>
      <c r="F75" s="31">
        <v>0</v>
      </c>
    </row>
    <row r="76" spans="1:6" x14ac:dyDescent="0.3">
      <c r="A76" t="s">
        <v>211</v>
      </c>
      <c r="B76" t="s">
        <v>215</v>
      </c>
      <c r="C76" s="31">
        <v>0</v>
      </c>
      <c r="D76" s="31">
        <v>42</v>
      </c>
      <c r="E76" s="31">
        <v>0</v>
      </c>
      <c r="F76" s="31">
        <v>0</v>
      </c>
    </row>
    <row r="77" spans="1:6" x14ac:dyDescent="0.3">
      <c r="A77" t="s">
        <v>211</v>
      </c>
      <c r="B77" t="s">
        <v>216</v>
      </c>
      <c r="C77" s="31">
        <v>0</v>
      </c>
      <c r="D77" s="31">
        <v>0</v>
      </c>
      <c r="E77" s="31">
        <v>168</v>
      </c>
      <c r="F77" s="31">
        <v>0</v>
      </c>
    </row>
    <row r="78" spans="1:6" x14ac:dyDescent="0.3">
      <c r="A78" t="s">
        <v>211</v>
      </c>
      <c r="B78" t="s">
        <v>170</v>
      </c>
      <c r="C78" s="31">
        <v>0</v>
      </c>
      <c r="D78" s="31">
        <v>0</v>
      </c>
      <c r="E78" s="31">
        <v>23.8</v>
      </c>
      <c r="F78" s="31">
        <v>0</v>
      </c>
    </row>
    <row r="79" spans="1:6" x14ac:dyDescent="0.3">
      <c r="A79" t="s">
        <v>211</v>
      </c>
      <c r="B79" t="s">
        <v>201</v>
      </c>
      <c r="C79" s="31">
        <v>0</v>
      </c>
      <c r="D79" s="31">
        <v>490</v>
      </c>
      <c r="E79" s="31">
        <v>0</v>
      </c>
      <c r="F79" s="31">
        <v>0</v>
      </c>
    </row>
    <row r="80" spans="1:6" x14ac:dyDescent="0.3">
      <c r="A80" t="s">
        <v>211</v>
      </c>
      <c r="B80" t="s">
        <v>202</v>
      </c>
      <c r="C80" s="31">
        <v>0</v>
      </c>
      <c r="D80" s="31">
        <v>0</v>
      </c>
      <c r="E80" s="31">
        <v>0</v>
      </c>
      <c r="F80" s="31">
        <v>420</v>
      </c>
    </row>
    <row r="81" spans="1:6" x14ac:dyDescent="0.3">
      <c r="A81" t="s">
        <v>211</v>
      </c>
      <c r="B81" t="s">
        <v>217</v>
      </c>
      <c r="C81" s="31">
        <v>75.599999999999994</v>
      </c>
      <c r="D81" s="31">
        <v>0</v>
      </c>
      <c r="E81" s="31">
        <v>0</v>
      </c>
      <c r="F81" s="31">
        <v>0</v>
      </c>
    </row>
    <row r="82" spans="1:6" x14ac:dyDescent="0.3">
      <c r="A82" t="s">
        <v>211</v>
      </c>
      <c r="B82" t="s">
        <v>178</v>
      </c>
      <c r="C82" s="31">
        <v>0</v>
      </c>
      <c r="D82" s="31">
        <v>0</v>
      </c>
      <c r="E82" s="31">
        <v>0</v>
      </c>
      <c r="F82" s="31">
        <v>99.75</v>
      </c>
    </row>
    <row r="83" spans="1:6" x14ac:dyDescent="0.3">
      <c r="A83" t="s">
        <v>211</v>
      </c>
      <c r="B83" t="s">
        <v>218</v>
      </c>
      <c r="C83" s="31">
        <v>0</v>
      </c>
      <c r="D83" s="31">
        <v>0</v>
      </c>
      <c r="E83" s="31">
        <v>0</v>
      </c>
      <c r="F83" s="31">
        <v>126</v>
      </c>
    </row>
    <row r="84" spans="1:6" x14ac:dyDescent="0.3">
      <c r="A84" t="s">
        <v>219</v>
      </c>
      <c r="B84" t="s">
        <v>194</v>
      </c>
      <c r="C84" s="31">
        <v>0</v>
      </c>
      <c r="D84" s="31">
        <v>0</v>
      </c>
      <c r="E84" s="31">
        <v>0</v>
      </c>
      <c r="F84" s="31">
        <v>625</v>
      </c>
    </row>
    <row r="85" spans="1:6" x14ac:dyDescent="0.3">
      <c r="A85" t="s">
        <v>219</v>
      </c>
      <c r="B85" t="s">
        <v>212</v>
      </c>
      <c r="C85" s="31">
        <v>0</v>
      </c>
      <c r="D85" s="31">
        <v>593.75</v>
      </c>
      <c r="E85" s="31">
        <v>0</v>
      </c>
      <c r="F85" s="31">
        <v>0</v>
      </c>
    </row>
    <row r="86" spans="1:6" x14ac:dyDescent="0.3">
      <c r="A86" t="s">
        <v>219</v>
      </c>
      <c r="B86" t="s">
        <v>180</v>
      </c>
      <c r="C86" s="31">
        <v>0</v>
      </c>
      <c r="D86" s="31">
        <v>0</v>
      </c>
      <c r="E86" s="31">
        <v>0</v>
      </c>
      <c r="F86" s="31">
        <v>35.619999999999997</v>
      </c>
    </row>
    <row r="87" spans="1:6" x14ac:dyDescent="0.3">
      <c r="A87" t="s">
        <v>219</v>
      </c>
      <c r="B87" t="s">
        <v>220</v>
      </c>
      <c r="C87" s="31">
        <v>0</v>
      </c>
      <c r="D87" s="31">
        <v>0</v>
      </c>
      <c r="E87" s="31">
        <v>0</v>
      </c>
      <c r="F87" s="31">
        <v>12.5</v>
      </c>
    </row>
    <row r="88" spans="1:6" x14ac:dyDescent="0.3">
      <c r="A88" t="s">
        <v>219</v>
      </c>
      <c r="B88" t="s">
        <v>165</v>
      </c>
      <c r="C88" s="31">
        <v>0</v>
      </c>
      <c r="D88" s="31">
        <v>0</v>
      </c>
      <c r="E88" s="31">
        <v>0</v>
      </c>
      <c r="F88" s="31">
        <v>890</v>
      </c>
    </row>
    <row r="89" spans="1:6" x14ac:dyDescent="0.3">
      <c r="A89" t="s">
        <v>219</v>
      </c>
      <c r="B89" t="s">
        <v>207</v>
      </c>
      <c r="C89" s="31">
        <v>0</v>
      </c>
      <c r="D89" s="31">
        <v>0</v>
      </c>
      <c r="E89" s="31">
        <v>0</v>
      </c>
      <c r="F89" s="31">
        <v>18.75</v>
      </c>
    </row>
    <row r="90" spans="1:6" x14ac:dyDescent="0.3">
      <c r="A90" t="s">
        <v>219</v>
      </c>
      <c r="B90" t="s">
        <v>199</v>
      </c>
      <c r="C90" s="31">
        <v>140</v>
      </c>
      <c r="D90" s="31">
        <v>0</v>
      </c>
      <c r="E90" s="31">
        <v>0</v>
      </c>
      <c r="F90" s="31">
        <v>0</v>
      </c>
    </row>
    <row r="91" spans="1:6" x14ac:dyDescent="0.3">
      <c r="A91" t="s">
        <v>219</v>
      </c>
      <c r="B91" t="s">
        <v>221</v>
      </c>
      <c r="C91" s="31">
        <v>0</v>
      </c>
      <c r="D91" s="31">
        <v>0</v>
      </c>
      <c r="E91" s="31">
        <v>0</v>
      </c>
      <c r="F91" s="31">
        <v>125</v>
      </c>
    </row>
    <row r="92" spans="1:6" x14ac:dyDescent="0.3">
      <c r="A92" t="s">
        <v>219</v>
      </c>
      <c r="B92" t="s">
        <v>183</v>
      </c>
      <c r="C92" s="31">
        <v>0</v>
      </c>
      <c r="D92" s="31">
        <v>0</v>
      </c>
      <c r="E92" s="31">
        <v>0</v>
      </c>
      <c r="F92" s="31">
        <v>250</v>
      </c>
    </row>
    <row r="93" spans="1:6" x14ac:dyDescent="0.3">
      <c r="A93" t="s">
        <v>219</v>
      </c>
      <c r="B93" t="s">
        <v>222</v>
      </c>
      <c r="C93" s="31">
        <v>0</v>
      </c>
      <c r="D93" s="31">
        <v>600</v>
      </c>
      <c r="E93" s="31">
        <v>0</v>
      </c>
      <c r="F93" s="31">
        <v>0</v>
      </c>
    </row>
    <row r="94" spans="1:6" x14ac:dyDescent="0.3">
      <c r="A94" t="s">
        <v>219</v>
      </c>
      <c r="B94" t="s">
        <v>185</v>
      </c>
      <c r="C94" s="31">
        <v>0</v>
      </c>
      <c r="D94" s="31">
        <v>250</v>
      </c>
      <c r="E94" s="31">
        <v>0</v>
      </c>
      <c r="F94" s="31">
        <v>0</v>
      </c>
    </row>
    <row r="95" spans="1:6" x14ac:dyDescent="0.3">
      <c r="A95" t="s">
        <v>219</v>
      </c>
      <c r="B95" t="s">
        <v>216</v>
      </c>
      <c r="C95" s="31">
        <v>0</v>
      </c>
      <c r="D95" s="31">
        <v>0</v>
      </c>
      <c r="E95" s="31">
        <v>187.5</v>
      </c>
      <c r="F95" s="31">
        <v>0</v>
      </c>
    </row>
    <row r="96" spans="1:6" x14ac:dyDescent="0.3">
      <c r="A96" t="s">
        <v>219</v>
      </c>
      <c r="B96" t="s">
        <v>168</v>
      </c>
      <c r="C96" s="31">
        <v>0</v>
      </c>
      <c r="D96" s="31">
        <v>0</v>
      </c>
      <c r="E96" s="31">
        <v>0</v>
      </c>
      <c r="F96" s="31">
        <v>100</v>
      </c>
    </row>
    <row r="97" spans="1:6" x14ac:dyDescent="0.3">
      <c r="A97" t="s">
        <v>219</v>
      </c>
      <c r="B97" t="s">
        <v>189</v>
      </c>
      <c r="C97" s="31">
        <v>0</v>
      </c>
      <c r="D97" s="31">
        <v>0</v>
      </c>
      <c r="E97" s="31">
        <v>237.5</v>
      </c>
      <c r="F97" s="31">
        <v>0</v>
      </c>
    </row>
    <row r="98" spans="1:6" x14ac:dyDescent="0.3">
      <c r="A98" t="s">
        <v>219</v>
      </c>
      <c r="B98" t="s">
        <v>177</v>
      </c>
      <c r="C98" s="31">
        <v>0</v>
      </c>
      <c r="D98" s="31">
        <v>584.37</v>
      </c>
      <c r="E98" s="31">
        <v>0</v>
      </c>
      <c r="F98" s="31">
        <v>0</v>
      </c>
    </row>
    <row r="99" spans="1:6" x14ac:dyDescent="0.3">
      <c r="A99" t="s">
        <v>219</v>
      </c>
      <c r="B99" t="s">
        <v>169</v>
      </c>
      <c r="C99" s="31">
        <v>0</v>
      </c>
      <c r="D99" s="31">
        <v>421.25</v>
      </c>
      <c r="E99" s="31">
        <v>0</v>
      </c>
      <c r="F99" s="31">
        <v>0</v>
      </c>
    </row>
    <row r="100" spans="1:6" x14ac:dyDescent="0.3">
      <c r="A100" t="s">
        <v>219</v>
      </c>
      <c r="B100" t="s">
        <v>202</v>
      </c>
      <c r="C100" s="31">
        <v>0</v>
      </c>
      <c r="D100" s="31">
        <v>375</v>
      </c>
      <c r="E100" s="31">
        <v>0</v>
      </c>
      <c r="F100" s="31">
        <v>0</v>
      </c>
    </row>
    <row r="101" spans="1:6" x14ac:dyDescent="0.3">
      <c r="A101" t="s">
        <v>219</v>
      </c>
      <c r="B101" t="s">
        <v>171</v>
      </c>
      <c r="C101" s="31">
        <v>0</v>
      </c>
      <c r="D101" s="31">
        <v>0</v>
      </c>
      <c r="E101" s="31">
        <v>0</v>
      </c>
      <c r="F101" s="31">
        <v>625</v>
      </c>
    </row>
    <row r="102" spans="1:6" x14ac:dyDescent="0.3">
      <c r="A102" t="s">
        <v>219</v>
      </c>
      <c r="B102" t="s">
        <v>223</v>
      </c>
      <c r="C102" s="31">
        <v>297.5</v>
      </c>
      <c r="D102" s="31">
        <v>0</v>
      </c>
      <c r="E102" s="31">
        <v>0</v>
      </c>
      <c r="F102" s="31">
        <v>0</v>
      </c>
    </row>
    <row r="103" spans="1:6" x14ac:dyDescent="0.3">
      <c r="A103" t="s">
        <v>219</v>
      </c>
      <c r="B103" t="s">
        <v>217</v>
      </c>
      <c r="C103" s="31">
        <v>27</v>
      </c>
      <c r="D103" s="31">
        <v>0</v>
      </c>
      <c r="E103" s="31">
        <v>0</v>
      </c>
      <c r="F103" s="31">
        <v>0</v>
      </c>
    </row>
    <row r="104" spans="1:6" x14ac:dyDescent="0.3">
      <c r="A104" t="s">
        <v>219</v>
      </c>
      <c r="B104" t="s">
        <v>224</v>
      </c>
      <c r="C104" s="31">
        <v>0</v>
      </c>
      <c r="D104" s="31">
        <v>250</v>
      </c>
      <c r="E104" s="31">
        <v>0</v>
      </c>
      <c r="F104" s="31">
        <v>0</v>
      </c>
    </row>
    <row r="105" spans="1:6" x14ac:dyDescent="0.3">
      <c r="A105" t="s">
        <v>219</v>
      </c>
      <c r="B105" t="s">
        <v>208</v>
      </c>
      <c r="C105" s="31">
        <v>0</v>
      </c>
      <c r="D105" s="31">
        <v>190</v>
      </c>
      <c r="E105" s="31">
        <v>0</v>
      </c>
      <c r="F105" s="31">
        <v>0</v>
      </c>
    </row>
    <row r="106" spans="1:6" x14ac:dyDescent="0.3">
      <c r="A106" t="s">
        <v>219</v>
      </c>
      <c r="B106" t="s">
        <v>225</v>
      </c>
      <c r="C106" s="31">
        <v>0</v>
      </c>
      <c r="D106" s="31">
        <v>0</v>
      </c>
      <c r="E106" s="31">
        <v>90</v>
      </c>
      <c r="F106" s="31">
        <v>0</v>
      </c>
    </row>
    <row r="107" spans="1:6" x14ac:dyDescent="0.3">
      <c r="A107" t="s">
        <v>219</v>
      </c>
      <c r="B107" t="s">
        <v>203</v>
      </c>
      <c r="C107" s="31">
        <v>0</v>
      </c>
      <c r="D107" s="31">
        <v>375</v>
      </c>
      <c r="E107" s="31">
        <v>0</v>
      </c>
      <c r="F107" s="31">
        <v>0</v>
      </c>
    </row>
    <row r="108" spans="1:6" x14ac:dyDescent="0.3">
      <c r="A108" t="s">
        <v>226</v>
      </c>
      <c r="B108" t="s">
        <v>199</v>
      </c>
      <c r="C108" s="31">
        <v>0</v>
      </c>
      <c r="D108" s="31">
        <v>0</v>
      </c>
      <c r="E108" s="31">
        <v>0</v>
      </c>
      <c r="F108" s="31">
        <v>750</v>
      </c>
    </row>
    <row r="109" spans="1:6" x14ac:dyDescent="0.3">
      <c r="A109" t="s">
        <v>226</v>
      </c>
      <c r="B109" t="s">
        <v>200</v>
      </c>
      <c r="C109" s="31">
        <v>0</v>
      </c>
      <c r="D109" s="31">
        <v>0</v>
      </c>
      <c r="E109" s="31">
        <v>1750</v>
      </c>
      <c r="F109" s="31">
        <v>0</v>
      </c>
    </row>
    <row r="110" spans="1:6" x14ac:dyDescent="0.3">
      <c r="A110" t="s">
        <v>227</v>
      </c>
      <c r="B110" t="s">
        <v>161</v>
      </c>
      <c r="C110" s="31">
        <v>0</v>
      </c>
      <c r="D110" s="31">
        <v>586.5</v>
      </c>
      <c r="E110" s="31">
        <v>0</v>
      </c>
      <c r="F110" s="31">
        <v>0</v>
      </c>
    </row>
    <row r="111" spans="1:6" x14ac:dyDescent="0.3">
      <c r="A111" t="s">
        <v>227</v>
      </c>
      <c r="B111" t="s">
        <v>162</v>
      </c>
      <c r="C111" s="31">
        <v>0</v>
      </c>
      <c r="D111" s="31">
        <v>2760</v>
      </c>
      <c r="E111" s="31">
        <v>0</v>
      </c>
      <c r="F111" s="31">
        <v>0</v>
      </c>
    </row>
    <row r="112" spans="1:6" x14ac:dyDescent="0.3">
      <c r="A112" t="s">
        <v>227</v>
      </c>
      <c r="B112" t="s">
        <v>198</v>
      </c>
      <c r="C112" s="31">
        <v>110.4</v>
      </c>
      <c r="D112" s="31">
        <v>0</v>
      </c>
      <c r="E112" s="31">
        <v>0</v>
      </c>
      <c r="F112" s="31">
        <v>0</v>
      </c>
    </row>
    <row r="113" spans="1:6" x14ac:dyDescent="0.3">
      <c r="A113" t="s">
        <v>227</v>
      </c>
      <c r="B113" t="s">
        <v>228</v>
      </c>
      <c r="C113" s="31">
        <v>552</v>
      </c>
      <c r="D113" s="31">
        <v>0</v>
      </c>
      <c r="E113" s="31">
        <v>0</v>
      </c>
      <c r="F113" s="31">
        <v>0</v>
      </c>
    </row>
    <row r="114" spans="1:6" x14ac:dyDescent="0.3">
      <c r="A114" t="s">
        <v>227</v>
      </c>
      <c r="B114" t="s">
        <v>229</v>
      </c>
      <c r="C114" s="31">
        <v>0</v>
      </c>
      <c r="D114" s="31">
        <v>0</v>
      </c>
      <c r="E114" s="31">
        <v>0</v>
      </c>
      <c r="F114" s="31">
        <v>1035</v>
      </c>
    </row>
    <row r="115" spans="1:6" x14ac:dyDescent="0.3">
      <c r="A115" t="s">
        <v>227</v>
      </c>
      <c r="B115" t="s">
        <v>216</v>
      </c>
      <c r="C115" s="31">
        <v>0</v>
      </c>
      <c r="D115" s="31">
        <v>0</v>
      </c>
      <c r="E115" s="31">
        <v>0</v>
      </c>
      <c r="F115" s="31">
        <v>1104</v>
      </c>
    </row>
    <row r="116" spans="1:6" x14ac:dyDescent="0.3">
      <c r="A116" t="s">
        <v>227</v>
      </c>
      <c r="B116" t="s">
        <v>168</v>
      </c>
      <c r="C116" s="31">
        <v>0</v>
      </c>
      <c r="D116" s="31">
        <v>1150</v>
      </c>
      <c r="E116" s="31">
        <v>0</v>
      </c>
      <c r="F116" s="31">
        <v>0</v>
      </c>
    </row>
    <row r="117" spans="1:6" x14ac:dyDescent="0.3">
      <c r="A117" t="s">
        <v>227</v>
      </c>
      <c r="B117" t="s">
        <v>177</v>
      </c>
      <c r="C117" s="31">
        <v>0</v>
      </c>
      <c r="D117" s="31">
        <v>0</v>
      </c>
      <c r="E117" s="31">
        <v>0</v>
      </c>
      <c r="F117" s="31">
        <v>1840</v>
      </c>
    </row>
    <row r="118" spans="1:6" x14ac:dyDescent="0.3">
      <c r="A118" t="s">
        <v>227</v>
      </c>
      <c r="B118" t="s">
        <v>223</v>
      </c>
      <c r="C118" s="31">
        <v>736</v>
      </c>
      <c r="D118" s="31">
        <v>0</v>
      </c>
      <c r="E118" s="31">
        <v>0</v>
      </c>
      <c r="F118" s="31">
        <v>0</v>
      </c>
    </row>
    <row r="119" spans="1:6" x14ac:dyDescent="0.3">
      <c r="A119" t="s">
        <v>227</v>
      </c>
      <c r="B119" t="s">
        <v>230</v>
      </c>
      <c r="C119" s="31">
        <v>0</v>
      </c>
      <c r="D119" s="31">
        <v>0</v>
      </c>
      <c r="E119" s="31">
        <v>920</v>
      </c>
      <c r="F119" s="31">
        <v>0</v>
      </c>
    </row>
    <row r="120" spans="1:6" x14ac:dyDescent="0.3">
      <c r="A120" t="s">
        <v>227</v>
      </c>
      <c r="B120" t="s">
        <v>231</v>
      </c>
      <c r="C120" s="31">
        <v>0</v>
      </c>
      <c r="D120" s="31">
        <v>0</v>
      </c>
      <c r="E120" s="31">
        <v>276</v>
      </c>
      <c r="F120" s="31">
        <v>0</v>
      </c>
    </row>
    <row r="121" spans="1:6" x14ac:dyDescent="0.3">
      <c r="A121" t="s">
        <v>232</v>
      </c>
      <c r="B121" t="s">
        <v>194</v>
      </c>
      <c r="C121" s="31">
        <v>0</v>
      </c>
      <c r="D121" s="31">
        <v>0</v>
      </c>
      <c r="E121" s="31">
        <v>0</v>
      </c>
      <c r="F121" s="31">
        <v>135.1</v>
      </c>
    </row>
    <row r="122" spans="1:6" x14ac:dyDescent="0.3">
      <c r="A122" t="s">
        <v>232</v>
      </c>
      <c r="B122" t="s">
        <v>162</v>
      </c>
      <c r="C122" s="31">
        <v>231</v>
      </c>
      <c r="D122" s="31">
        <v>0</v>
      </c>
      <c r="E122" s="31">
        <v>0</v>
      </c>
      <c r="F122" s="31">
        <v>96.5</v>
      </c>
    </row>
    <row r="123" spans="1:6" x14ac:dyDescent="0.3">
      <c r="A123" t="s">
        <v>232</v>
      </c>
      <c r="B123" t="s">
        <v>212</v>
      </c>
      <c r="C123" s="31">
        <v>0</v>
      </c>
      <c r="D123" s="31">
        <v>110.01</v>
      </c>
      <c r="E123" s="31">
        <v>0</v>
      </c>
      <c r="F123" s="31">
        <v>0</v>
      </c>
    </row>
    <row r="124" spans="1:6" x14ac:dyDescent="0.3">
      <c r="A124" t="s">
        <v>232</v>
      </c>
      <c r="B124" t="s">
        <v>164</v>
      </c>
      <c r="C124" s="31">
        <v>154</v>
      </c>
      <c r="D124" s="31">
        <v>0</v>
      </c>
      <c r="E124" s="31">
        <v>0</v>
      </c>
      <c r="F124" s="31">
        <v>0</v>
      </c>
    </row>
    <row r="125" spans="1:6" x14ac:dyDescent="0.3">
      <c r="A125" t="s">
        <v>232</v>
      </c>
      <c r="B125" t="s">
        <v>220</v>
      </c>
      <c r="C125" s="31">
        <v>0</v>
      </c>
      <c r="D125" s="31">
        <v>96.5</v>
      </c>
      <c r="E125" s="31">
        <v>0</v>
      </c>
      <c r="F125" s="31">
        <v>0</v>
      </c>
    </row>
    <row r="126" spans="1:6" x14ac:dyDescent="0.3">
      <c r="A126" t="s">
        <v>232</v>
      </c>
      <c r="B126" t="s">
        <v>196</v>
      </c>
      <c r="C126" s="31">
        <v>0</v>
      </c>
      <c r="D126" s="31">
        <v>0</v>
      </c>
      <c r="E126" s="31">
        <v>0</v>
      </c>
      <c r="F126" s="31">
        <v>115.8</v>
      </c>
    </row>
    <row r="127" spans="1:6" x14ac:dyDescent="0.3">
      <c r="A127" t="s">
        <v>232</v>
      </c>
      <c r="B127" t="s">
        <v>197</v>
      </c>
      <c r="C127" s="31">
        <v>0</v>
      </c>
      <c r="D127" s="31">
        <v>0</v>
      </c>
      <c r="E127" s="31">
        <v>0</v>
      </c>
      <c r="F127" s="31">
        <v>183.35</v>
      </c>
    </row>
    <row r="128" spans="1:6" x14ac:dyDescent="0.3">
      <c r="A128" t="s">
        <v>232</v>
      </c>
      <c r="B128" t="s">
        <v>199</v>
      </c>
      <c r="C128" s="31">
        <v>0</v>
      </c>
      <c r="D128" s="31">
        <v>0</v>
      </c>
      <c r="E128" s="31">
        <v>38.6</v>
      </c>
      <c r="F128" s="31">
        <v>0</v>
      </c>
    </row>
    <row r="129" spans="1:6" x14ac:dyDescent="0.3">
      <c r="A129" t="s">
        <v>232</v>
      </c>
      <c r="B129" t="s">
        <v>222</v>
      </c>
      <c r="C129" s="31">
        <v>0</v>
      </c>
      <c r="D129" s="31">
        <v>694.8</v>
      </c>
      <c r="E129" s="31">
        <v>0</v>
      </c>
      <c r="F129" s="31">
        <v>0</v>
      </c>
    </row>
    <row r="130" spans="1:6" x14ac:dyDescent="0.3">
      <c r="A130" t="s">
        <v>232</v>
      </c>
      <c r="B130" t="s">
        <v>214</v>
      </c>
      <c r="C130" s="31">
        <v>0</v>
      </c>
      <c r="D130" s="31">
        <v>154</v>
      </c>
      <c r="E130" s="31">
        <v>0</v>
      </c>
      <c r="F130" s="31">
        <v>0</v>
      </c>
    </row>
    <row r="131" spans="1:6" x14ac:dyDescent="0.3">
      <c r="A131" t="s">
        <v>232</v>
      </c>
      <c r="B131" t="s">
        <v>187</v>
      </c>
      <c r="C131" s="31">
        <v>0</v>
      </c>
      <c r="D131" s="31">
        <v>82.51</v>
      </c>
      <c r="E131" s="31">
        <v>0</v>
      </c>
      <c r="F131" s="31">
        <v>0</v>
      </c>
    </row>
    <row r="132" spans="1:6" x14ac:dyDescent="0.3">
      <c r="A132" t="s">
        <v>232</v>
      </c>
      <c r="B132" t="s">
        <v>168</v>
      </c>
      <c r="C132" s="31">
        <v>0</v>
      </c>
      <c r="D132" s="31">
        <v>0</v>
      </c>
      <c r="E132" s="31">
        <v>0</v>
      </c>
      <c r="F132" s="31">
        <v>337.75</v>
      </c>
    </row>
    <row r="133" spans="1:6" x14ac:dyDescent="0.3">
      <c r="A133" t="s">
        <v>232</v>
      </c>
      <c r="B133" t="s">
        <v>170</v>
      </c>
      <c r="C133" s="31">
        <v>0</v>
      </c>
      <c r="D133" s="31">
        <v>0</v>
      </c>
      <c r="E133" s="31">
        <v>154.4</v>
      </c>
      <c r="F133" s="31">
        <v>0</v>
      </c>
    </row>
    <row r="134" spans="1:6" x14ac:dyDescent="0.3">
      <c r="A134" t="s">
        <v>232</v>
      </c>
      <c r="B134" t="s">
        <v>171</v>
      </c>
      <c r="C134" s="31">
        <v>0</v>
      </c>
      <c r="D134" s="31">
        <v>0</v>
      </c>
      <c r="E134" s="31">
        <v>1389.6</v>
      </c>
      <c r="F134" s="31">
        <v>405.3</v>
      </c>
    </row>
    <row r="135" spans="1:6" x14ac:dyDescent="0.3">
      <c r="A135" t="s">
        <v>232</v>
      </c>
      <c r="B135" t="s">
        <v>172</v>
      </c>
      <c r="C135" s="31">
        <v>0</v>
      </c>
      <c r="D135" s="31">
        <v>52.11</v>
      </c>
      <c r="E135" s="31">
        <v>0</v>
      </c>
      <c r="F135" s="31">
        <v>0</v>
      </c>
    </row>
    <row r="136" spans="1:6" x14ac:dyDescent="0.3">
      <c r="A136" t="s">
        <v>232</v>
      </c>
      <c r="B136" t="s">
        <v>217</v>
      </c>
      <c r="C136" s="31">
        <v>0</v>
      </c>
      <c r="D136" s="31">
        <v>135.1</v>
      </c>
      <c r="E136" s="31">
        <v>0</v>
      </c>
      <c r="F136" s="31">
        <v>0</v>
      </c>
    </row>
    <row r="137" spans="1:6" x14ac:dyDescent="0.3">
      <c r="A137" t="s">
        <v>232</v>
      </c>
      <c r="B137" t="s">
        <v>178</v>
      </c>
      <c r="C137" s="31">
        <v>0</v>
      </c>
      <c r="D137" s="31">
        <v>0</v>
      </c>
      <c r="E137" s="31">
        <v>0</v>
      </c>
      <c r="F137" s="31">
        <v>275.02</v>
      </c>
    </row>
    <row r="138" spans="1:6" x14ac:dyDescent="0.3">
      <c r="A138" t="s">
        <v>232</v>
      </c>
      <c r="B138" t="s">
        <v>218</v>
      </c>
      <c r="C138" s="31">
        <v>0</v>
      </c>
      <c r="D138" s="31">
        <v>0</v>
      </c>
      <c r="E138" s="31">
        <v>0</v>
      </c>
      <c r="F138" s="31">
        <v>115.8</v>
      </c>
    </row>
    <row r="139" spans="1:6" x14ac:dyDescent="0.3">
      <c r="A139" t="s">
        <v>233</v>
      </c>
      <c r="B139" t="s">
        <v>197</v>
      </c>
      <c r="C139" s="31">
        <v>0</v>
      </c>
      <c r="D139" s="31">
        <v>0</v>
      </c>
      <c r="E139" s="31">
        <v>350</v>
      </c>
      <c r="F139" s="31">
        <v>0</v>
      </c>
    </row>
    <row r="140" spans="1:6" x14ac:dyDescent="0.3">
      <c r="A140" t="s">
        <v>233</v>
      </c>
      <c r="B140" t="s">
        <v>234</v>
      </c>
      <c r="C140" s="31">
        <v>0</v>
      </c>
      <c r="D140" s="31">
        <v>98</v>
      </c>
      <c r="E140" s="31">
        <v>0</v>
      </c>
      <c r="F140" s="31">
        <v>0</v>
      </c>
    </row>
    <row r="141" spans="1:6" x14ac:dyDescent="0.3">
      <c r="A141" t="s">
        <v>233</v>
      </c>
      <c r="B141" t="s">
        <v>188</v>
      </c>
      <c r="C141" s="31">
        <v>0</v>
      </c>
      <c r="D141" s="31">
        <v>420</v>
      </c>
      <c r="E141" s="31">
        <v>0</v>
      </c>
      <c r="F141" s="31">
        <v>0</v>
      </c>
    </row>
    <row r="142" spans="1:6" x14ac:dyDescent="0.3">
      <c r="A142" t="s">
        <v>233</v>
      </c>
      <c r="B142" t="s">
        <v>235</v>
      </c>
      <c r="C142" s="31">
        <v>0</v>
      </c>
      <c r="D142" s="31">
        <v>0</v>
      </c>
      <c r="E142" s="31">
        <v>0</v>
      </c>
      <c r="F142" s="31">
        <v>42</v>
      </c>
    </row>
    <row r="143" spans="1:6" x14ac:dyDescent="0.3">
      <c r="A143" t="s">
        <v>236</v>
      </c>
      <c r="B143" t="s">
        <v>182</v>
      </c>
      <c r="C143" s="31">
        <v>0</v>
      </c>
      <c r="D143" s="31">
        <v>0</v>
      </c>
      <c r="E143" s="31">
        <v>0</v>
      </c>
      <c r="F143" s="31">
        <v>50</v>
      </c>
    </row>
    <row r="144" spans="1:6" x14ac:dyDescent="0.3">
      <c r="A144" t="s">
        <v>236</v>
      </c>
      <c r="B144" t="s">
        <v>183</v>
      </c>
      <c r="C144" s="31">
        <v>128</v>
      </c>
      <c r="D144" s="31">
        <v>0</v>
      </c>
      <c r="E144" s="31">
        <v>0</v>
      </c>
      <c r="F144" s="31">
        <v>0</v>
      </c>
    </row>
    <row r="145" spans="1:6" x14ac:dyDescent="0.3">
      <c r="A145" t="s">
        <v>236</v>
      </c>
      <c r="B145" t="s">
        <v>200</v>
      </c>
      <c r="C145" s="31">
        <v>240</v>
      </c>
      <c r="D145" s="31">
        <v>0</v>
      </c>
      <c r="E145" s="31">
        <v>0</v>
      </c>
      <c r="F145" s="31">
        <v>0</v>
      </c>
    </row>
    <row r="146" spans="1:6" x14ac:dyDescent="0.3">
      <c r="A146" t="s">
        <v>236</v>
      </c>
      <c r="B146" t="s">
        <v>177</v>
      </c>
      <c r="C146" s="31">
        <v>120</v>
      </c>
      <c r="D146" s="31">
        <v>0</v>
      </c>
      <c r="E146" s="31">
        <v>0</v>
      </c>
      <c r="F146" s="31">
        <v>0</v>
      </c>
    </row>
    <row r="147" spans="1:6" x14ac:dyDescent="0.3">
      <c r="A147" t="s">
        <v>236</v>
      </c>
      <c r="B147" t="s">
        <v>237</v>
      </c>
      <c r="C147" s="31">
        <v>0</v>
      </c>
      <c r="D147" s="31">
        <v>0</v>
      </c>
      <c r="E147" s="31">
        <v>0</v>
      </c>
      <c r="F147" s="31">
        <v>112.5</v>
      </c>
    </row>
    <row r="148" spans="1:6" x14ac:dyDescent="0.3">
      <c r="A148" t="s">
        <v>236</v>
      </c>
      <c r="B148" t="s">
        <v>203</v>
      </c>
      <c r="C148" s="31">
        <v>0</v>
      </c>
      <c r="D148" s="31">
        <v>0</v>
      </c>
      <c r="E148" s="31">
        <v>0</v>
      </c>
      <c r="F148" s="31">
        <v>350</v>
      </c>
    </row>
    <row r="149" spans="1:6" x14ac:dyDescent="0.3">
      <c r="A149" t="s">
        <v>238</v>
      </c>
      <c r="B149" t="s">
        <v>180</v>
      </c>
      <c r="C149" s="31">
        <v>0</v>
      </c>
      <c r="D149" s="31">
        <v>0</v>
      </c>
      <c r="E149" s="31">
        <v>0</v>
      </c>
      <c r="F149" s="31">
        <v>199.97</v>
      </c>
    </row>
    <row r="150" spans="1:6" x14ac:dyDescent="0.3">
      <c r="A150" t="s">
        <v>238</v>
      </c>
      <c r="B150" t="s">
        <v>165</v>
      </c>
      <c r="C150" s="31">
        <v>0</v>
      </c>
      <c r="D150" s="31">
        <v>820.95</v>
      </c>
      <c r="E150" s="31">
        <v>0</v>
      </c>
      <c r="F150" s="31">
        <v>1299.8399999999999</v>
      </c>
    </row>
    <row r="151" spans="1:6" x14ac:dyDescent="0.3">
      <c r="A151" t="s">
        <v>238</v>
      </c>
      <c r="B151" t="s">
        <v>239</v>
      </c>
      <c r="C151" s="31">
        <v>0</v>
      </c>
      <c r="D151" s="31">
        <v>0</v>
      </c>
      <c r="E151" s="31">
        <v>252.6</v>
      </c>
      <c r="F151" s="31">
        <v>0</v>
      </c>
    </row>
    <row r="152" spans="1:6" x14ac:dyDescent="0.3">
      <c r="A152" t="s">
        <v>238</v>
      </c>
      <c r="B152" t="s">
        <v>198</v>
      </c>
      <c r="C152" s="31">
        <v>0</v>
      </c>
      <c r="D152" s="31">
        <v>0</v>
      </c>
      <c r="E152" s="31">
        <v>268.39</v>
      </c>
      <c r="F152" s="31">
        <v>0</v>
      </c>
    </row>
    <row r="153" spans="1:6" x14ac:dyDescent="0.3">
      <c r="A153" t="s">
        <v>238</v>
      </c>
      <c r="B153" t="s">
        <v>221</v>
      </c>
      <c r="C153" s="31">
        <v>0</v>
      </c>
      <c r="D153" s="31">
        <v>682.02</v>
      </c>
      <c r="E153" s="31">
        <v>0</v>
      </c>
      <c r="F153" s="31">
        <v>0</v>
      </c>
    </row>
    <row r="154" spans="1:6" x14ac:dyDescent="0.3">
      <c r="A154" t="s">
        <v>238</v>
      </c>
      <c r="B154" t="s">
        <v>222</v>
      </c>
      <c r="C154" s="31">
        <v>0</v>
      </c>
      <c r="D154" s="31">
        <v>421</v>
      </c>
      <c r="E154" s="31">
        <v>0</v>
      </c>
      <c r="F154" s="31">
        <v>842</v>
      </c>
    </row>
    <row r="155" spans="1:6" x14ac:dyDescent="0.3">
      <c r="A155" t="s">
        <v>238</v>
      </c>
      <c r="B155" t="s">
        <v>240</v>
      </c>
      <c r="C155" s="31">
        <v>0</v>
      </c>
      <c r="D155" s="31">
        <v>226.8</v>
      </c>
      <c r="E155" s="31">
        <v>0</v>
      </c>
      <c r="F155" s="31">
        <v>0</v>
      </c>
    </row>
    <row r="156" spans="1:6" x14ac:dyDescent="0.3">
      <c r="A156" t="s">
        <v>238</v>
      </c>
      <c r="B156" t="s">
        <v>176</v>
      </c>
      <c r="C156" s="31">
        <v>0</v>
      </c>
      <c r="D156" s="31">
        <v>0</v>
      </c>
      <c r="E156" s="31">
        <v>442.05</v>
      </c>
      <c r="F156" s="31">
        <v>0</v>
      </c>
    </row>
    <row r="157" spans="1:6" x14ac:dyDescent="0.3">
      <c r="A157" t="s">
        <v>238</v>
      </c>
      <c r="B157" t="s">
        <v>187</v>
      </c>
      <c r="C157" s="31">
        <v>0</v>
      </c>
      <c r="D157" s="31">
        <v>599.91999999999996</v>
      </c>
      <c r="E157" s="31">
        <v>0</v>
      </c>
      <c r="F157" s="31">
        <v>0</v>
      </c>
    </row>
    <row r="158" spans="1:6" x14ac:dyDescent="0.3">
      <c r="A158" t="s">
        <v>238</v>
      </c>
      <c r="B158" t="s">
        <v>168</v>
      </c>
      <c r="C158" s="31">
        <v>0</v>
      </c>
      <c r="D158" s="31">
        <v>0</v>
      </c>
      <c r="E158" s="31">
        <v>202.08</v>
      </c>
      <c r="F158" s="31">
        <v>0</v>
      </c>
    </row>
    <row r="159" spans="1:6" x14ac:dyDescent="0.3">
      <c r="A159" t="s">
        <v>238</v>
      </c>
      <c r="B159" t="s">
        <v>177</v>
      </c>
      <c r="C159" s="31">
        <v>423.36</v>
      </c>
      <c r="D159" s="31">
        <v>0</v>
      </c>
      <c r="E159" s="31">
        <v>0</v>
      </c>
      <c r="F159" s="31">
        <v>1515.6</v>
      </c>
    </row>
    <row r="160" spans="1:6" x14ac:dyDescent="0.3">
      <c r="A160" t="s">
        <v>238</v>
      </c>
      <c r="B160" t="s">
        <v>169</v>
      </c>
      <c r="C160" s="31">
        <v>336</v>
      </c>
      <c r="D160" s="31">
        <v>0</v>
      </c>
      <c r="E160" s="31">
        <v>0</v>
      </c>
      <c r="F160" s="31">
        <v>0</v>
      </c>
    </row>
    <row r="161" spans="1:6" x14ac:dyDescent="0.3">
      <c r="A161" t="s">
        <v>238</v>
      </c>
      <c r="B161" t="s">
        <v>201</v>
      </c>
      <c r="C161" s="31">
        <v>588</v>
      </c>
      <c r="D161" s="31">
        <v>0</v>
      </c>
      <c r="E161" s="31">
        <v>0</v>
      </c>
      <c r="F161" s="31">
        <v>0</v>
      </c>
    </row>
    <row r="162" spans="1:6" x14ac:dyDescent="0.3">
      <c r="A162" t="s">
        <v>238</v>
      </c>
      <c r="B162" t="s">
        <v>202</v>
      </c>
      <c r="C162" s="31">
        <v>0</v>
      </c>
      <c r="D162" s="31">
        <v>0</v>
      </c>
      <c r="E162" s="31">
        <v>210.5</v>
      </c>
      <c r="F162" s="31">
        <v>0</v>
      </c>
    </row>
    <row r="163" spans="1:6" x14ac:dyDescent="0.3">
      <c r="A163" t="s">
        <v>238</v>
      </c>
      <c r="B163" t="s">
        <v>237</v>
      </c>
      <c r="C163" s="31">
        <v>0</v>
      </c>
      <c r="D163" s="31">
        <v>0</v>
      </c>
      <c r="E163" s="31">
        <v>0</v>
      </c>
      <c r="F163" s="31">
        <v>42.1</v>
      </c>
    </row>
    <row r="164" spans="1:6" x14ac:dyDescent="0.3">
      <c r="A164" t="s">
        <v>241</v>
      </c>
      <c r="B164" t="s">
        <v>161</v>
      </c>
      <c r="C164" s="31">
        <v>0</v>
      </c>
      <c r="D164" s="31">
        <v>0</v>
      </c>
      <c r="E164" s="31">
        <v>68</v>
      </c>
      <c r="F164" s="31">
        <v>0</v>
      </c>
    </row>
    <row r="165" spans="1:6" x14ac:dyDescent="0.3">
      <c r="A165" t="s">
        <v>241</v>
      </c>
      <c r="B165" t="s">
        <v>206</v>
      </c>
      <c r="C165" s="31">
        <v>0</v>
      </c>
      <c r="D165" s="31">
        <v>408</v>
      </c>
      <c r="E165" s="31">
        <v>0</v>
      </c>
      <c r="F165" s="31">
        <v>0</v>
      </c>
    </row>
    <row r="166" spans="1:6" x14ac:dyDescent="0.3">
      <c r="A166" t="s">
        <v>241</v>
      </c>
      <c r="B166" t="s">
        <v>165</v>
      </c>
      <c r="C166" s="31">
        <v>816</v>
      </c>
      <c r="D166" s="31">
        <v>0</v>
      </c>
      <c r="E166" s="31">
        <v>0</v>
      </c>
      <c r="F166" s="31">
        <v>0</v>
      </c>
    </row>
    <row r="167" spans="1:6" x14ac:dyDescent="0.3">
      <c r="A167" t="s">
        <v>241</v>
      </c>
      <c r="B167" t="s">
        <v>207</v>
      </c>
      <c r="C167" s="31">
        <v>0</v>
      </c>
      <c r="D167" s="31">
        <v>0</v>
      </c>
      <c r="E167" s="31">
        <v>0</v>
      </c>
      <c r="F167" s="31">
        <v>850</v>
      </c>
    </row>
    <row r="168" spans="1:6" x14ac:dyDescent="0.3">
      <c r="A168" t="s">
        <v>241</v>
      </c>
      <c r="B168" t="s">
        <v>240</v>
      </c>
      <c r="C168" s="31">
        <v>0</v>
      </c>
      <c r="D168" s="31">
        <v>122.4</v>
      </c>
      <c r="E168" s="31">
        <v>0</v>
      </c>
      <c r="F168" s="31">
        <v>0</v>
      </c>
    </row>
    <row r="169" spans="1:6" x14ac:dyDescent="0.3">
      <c r="A169" t="s">
        <v>241</v>
      </c>
      <c r="B169" t="s">
        <v>223</v>
      </c>
      <c r="C169" s="31">
        <v>693.6</v>
      </c>
      <c r="D169" s="31">
        <v>0</v>
      </c>
      <c r="E169" s="31">
        <v>0</v>
      </c>
      <c r="F169" s="31">
        <v>0</v>
      </c>
    </row>
    <row r="170" spans="1:6" x14ac:dyDescent="0.3">
      <c r="A170" t="s">
        <v>242</v>
      </c>
      <c r="B170" t="s">
        <v>164</v>
      </c>
      <c r="C170" s="31">
        <v>0</v>
      </c>
      <c r="D170" s="31">
        <v>0</v>
      </c>
      <c r="E170" s="31">
        <v>0</v>
      </c>
      <c r="F170" s="31">
        <v>1218</v>
      </c>
    </row>
    <row r="171" spans="1:6" x14ac:dyDescent="0.3">
      <c r="A171" t="s">
        <v>242</v>
      </c>
      <c r="B171" t="s">
        <v>181</v>
      </c>
      <c r="C171" s="31">
        <v>0</v>
      </c>
      <c r="D171" s="31">
        <v>34.799999999999997</v>
      </c>
      <c r="E171" s="31">
        <v>0</v>
      </c>
      <c r="F171" s="31">
        <v>0</v>
      </c>
    </row>
    <row r="172" spans="1:6" x14ac:dyDescent="0.3">
      <c r="A172" t="s">
        <v>242</v>
      </c>
      <c r="B172" t="s">
        <v>243</v>
      </c>
      <c r="C172" s="31">
        <v>278</v>
      </c>
      <c r="D172" s="31">
        <v>0</v>
      </c>
      <c r="E172" s="31">
        <v>0</v>
      </c>
      <c r="F172" s="31">
        <v>0</v>
      </c>
    </row>
    <row r="173" spans="1:6" x14ac:dyDescent="0.3">
      <c r="A173" t="s">
        <v>242</v>
      </c>
      <c r="B173" t="s">
        <v>207</v>
      </c>
      <c r="C173" s="31">
        <v>0</v>
      </c>
      <c r="D173" s="31">
        <v>835.2</v>
      </c>
      <c r="E173" s="31">
        <v>0</v>
      </c>
      <c r="F173" s="31">
        <v>0</v>
      </c>
    </row>
    <row r="174" spans="1:6" x14ac:dyDescent="0.3">
      <c r="A174" t="s">
        <v>242</v>
      </c>
      <c r="B174" t="s">
        <v>244</v>
      </c>
      <c r="C174" s="31">
        <v>0</v>
      </c>
      <c r="D174" s="31">
        <v>313.2</v>
      </c>
      <c r="E174" s="31">
        <v>0</v>
      </c>
      <c r="F174" s="31">
        <v>0</v>
      </c>
    </row>
    <row r="175" spans="1:6" x14ac:dyDescent="0.3">
      <c r="A175" t="s">
        <v>242</v>
      </c>
      <c r="B175" t="s">
        <v>245</v>
      </c>
      <c r="C175" s="31">
        <v>0</v>
      </c>
      <c r="D175" s="31">
        <v>0</v>
      </c>
      <c r="E175" s="31">
        <v>0</v>
      </c>
      <c r="F175" s="31">
        <v>348</v>
      </c>
    </row>
    <row r="176" spans="1:6" x14ac:dyDescent="0.3">
      <c r="A176" t="s">
        <v>242</v>
      </c>
      <c r="B176" t="s">
        <v>185</v>
      </c>
      <c r="C176" s="31">
        <v>0</v>
      </c>
      <c r="D176" s="31">
        <v>695</v>
      </c>
      <c r="E176" s="31">
        <v>0</v>
      </c>
      <c r="F176" s="31">
        <v>0</v>
      </c>
    </row>
    <row r="177" spans="1:6" x14ac:dyDescent="0.3">
      <c r="A177" t="s">
        <v>242</v>
      </c>
      <c r="B177" t="s">
        <v>176</v>
      </c>
      <c r="C177" s="31">
        <v>0</v>
      </c>
      <c r="D177" s="31">
        <v>0</v>
      </c>
      <c r="E177" s="31">
        <v>2088</v>
      </c>
      <c r="F177" s="31">
        <v>0</v>
      </c>
    </row>
    <row r="178" spans="1:6" x14ac:dyDescent="0.3">
      <c r="A178" t="s">
        <v>242</v>
      </c>
      <c r="B178" t="s">
        <v>186</v>
      </c>
      <c r="C178" s="31">
        <v>0</v>
      </c>
      <c r="D178" s="31">
        <v>0</v>
      </c>
      <c r="E178" s="31">
        <v>0</v>
      </c>
      <c r="F178" s="31">
        <v>887.4</v>
      </c>
    </row>
    <row r="179" spans="1:6" x14ac:dyDescent="0.3">
      <c r="A179" t="s">
        <v>242</v>
      </c>
      <c r="B179" t="s">
        <v>229</v>
      </c>
      <c r="C179" s="31">
        <v>0</v>
      </c>
      <c r="D179" s="31">
        <v>0</v>
      </c>
      <c r="E179" s="31">
        <v>522</v>
      </c>
      <c r="F179" s="31">
        <v>0</v>
      </c>
    </row>
    <row r="180" spans="1:6" x14ac:dyDescent="0.3">
      <c r="A180" t="s">
        <v>242</v>
      </c>
      <c r="B180" t="s">
        <v>246</v>
      </c>
      <c r="C180" s="31">
        <v>0</v>
      </c>
      <c r="D180" s="31">
        <v>1044</v>
      </c>
      <c r="E180" s="31">
        <v>0</v>
      </c>
      <c r="F180" s="31">
        <v>0</v>
      </c>
    </row>
    <row r="181" spans="1:6" x14ac:dyDescent="0.3">
      <c r="A181" t="s">
        <v>242</v>
      </c>
      <c r="B181" t="s">
        <v>177</v>
      </c>
      <c r="C181" s="31">
        <v>0</v>
      </c>
      <c r="D181" s="31">
        <v>0</v>
      </c>
      <c r="E181" s="31">
        <v>0</v>
      </c>
      <c r="F181" s="31">
        <v>243.6</v>
      </c>
    </row>
    <row r="182" spans="1:6" x14ac:dyDescent="0.3">
      <c r="A182" t="s">
        <v>242</v>
      </c>
      <c r="B182" t="s">
        <v>202</v>
      </c>
      <c r="C182" s="31">
        <v>0</v>
      </c>
      <c r="D182" s="31">
        <v>730.8</v>
      </c>
      <c r="E182" s="31">
        <v>0</v>
      </c>
      <c r="F182" s="31">
        <v>0</v>
      </c>
    </row>
    <row r="183" spans="1:6" x14ac:dyDescent="0.3">
      <c r="A183" t="s">
        <v>242</v>
      </c>
      <c r="B183" t="s">
        <v>171</v>
      </c>
      <c r="C183" s="31">
        <v>0</v>
      </c>
      <c r="D183" s="31">
        <v>0</v>
      </c>
      <c r="E183" s="31">
        <v>417.6</v>
      </c>
      <c r="F183" s="31">
        <v>0</v>
      </c>
    </row>
    <row r="184" spans="1:6" x14ac:dyDescent="0.3">
      <c r="A184" t="s">
        <v>242</v>
      </c>
      <c r="B184" t="s">
        <v>247</v>
      </c>
      <c r="C184" s="31">
        <v>0</v>
      </c>
      <c r="D184" s="31">
        <v>835.2</v>
      </c>
      <c r="E184" s="31">
        <v>0</v>
      </c>
      <c r="F184" s="31">
        <v>0</v>
      </c>
    </row>
    <row r="185" spans="1:6" x14ac:dyDescent="0.3">
      <c r="A185" t="s">
        <v>242</v>
      </c>
      <c r="B185" t="s">
        <v>237</v>
      </c>
      <c r="C185" s="31">
        <v>1112</v>
      </c>
      <c r="D185" s="31">
        <v>0</v>
      </c>
      <c r="E185" s="31">
        <v>0</v>
      </c>
      <c r="F185" s="31">
        <v>0</v>
      </c>
    </row>
    <row r="186" spans="1:6" x14ac:dyDescent="0.3">
      <c r="A186" t="s">
        <v>248</v>
      </c>
      <c r="B186" t="s">
        <v>180</v>
      </c>
      <c r="C186" s="31">
        <v>0</v>
      </c>
      <c r="D186" s="31">
        <v>340</v>
      </c>
      <c r="E186" s="31">
        <v>0</v>
      </c>
      <c r="F186" s="31">
        <v>0</v>
      </c>
    </row>
    <row r="187" spans="1:6" x14ac:dyDescent="0.3">
      <c r="A187" t="s">
        <v>248</v>
      </c>
      <c r="B187" t="s">
        <v>199</v>
      </c>
      <c r="C187" s="31">
        <v>0</v>
      </c>
      <c r="D187" s="31">
        <v>0</v>
      </c>
      <c r="E187" s="31">
        <v>0</v>
      </c>
      <c r="F187" s="31">
        <v>1600</v>
      </c>
    </row>
    <row r="188" spans="1:6" x14ac:dyDescent="0.3">
      <c r="A188" t="s">
        <v>248</v>
      </c>
      <c r="B188" t="s">
        <v>185</v>
      </c>
      <c r="C188" s="31">
        <v>0</v>
      </c>
      <c r="D188" s="31">
        <v>960</v>
      </c>
      <c r="E188" s="31">
        <v>0</v>
      </c>
      <c r="F188" s="31">
        <v>0</v>
      </c>
    </row>
    <row r="189" spans="1:6" x14ac:dyDescent="0.3">
      <c r="A189" t="s">
        <v>248</v>
      </c>
      <c r="B189" t="s">
        <v>189</v>
      </c>
      <c r="C189" s="31">
        <v>0</v>
      </c>
      <c r="D189" s="31">
        <v>0</v>
      </c>
      <c r="E189" s="31">
        <v>0</v>
      </c>
      <c r="F189" s="31">
        <v>960</v>
      </c>
    </row>
    <row r="190" spans="1:6" x14ac:dyDescent="0.3">
      <c r="A190" t="s">
        <v>248</v>
      </c>
      <c r="B190" t="s">
        <v>231</v>
      </c>
      <c r="C190" s="31">
        <v>0</v>
      </c>
      <c r="D190" s="31">
        <v>0</v>
      </c>
      <c r="E190" s="31">
        <v>0</v>
      </c>
      <c r="F190" s="31">
        <v>400</v>
      </c>
    </row>
    <row r="191" spans="1:6" x14ac:dyDescent="0.3">
      <c r="A191" t="s">
        <v>249</v>
      </c>
      <c r="B191" t="s">
        <v>161</v>
      </c>
      <c r="C191" s="31">
        <v>0</v>
      </c>
      <c r="D191" s="31">
        <v>87.75</v>
      </c>
      <c r="E191" s="31">
        <v>0</v>
      </c>
      <c r="F191" s="31">
        <v>0</v>
      </c>
    </row>
    <row r="192" spans="1:6" x14ac:dyDescent="0.3">
      <c r="A192" t="s">
        <v>249</v>
      </c>
      <c r="B192" t="s">
        <v>194</v>
      </c>
      <c r="C192" s="31">
        <v>0</v>
      </c>
      <c r="D192" s="31">
        <v>0</v>
      </c>
      <c r="E192" s="31">
        <v>0</v>
      </c>
      <c r="F192" s="31">
        <v>780</v>
      </c>
    </row>
    <row r="193" spans="1:6" x14ac:dyDescent="0.3">
      <c r="A193" t="s">
        <v>249</v>
      </c>
      <c r="B193" t="s">
        <v>250</v>
      </c>
      <c r="C193" s="31">
        <v>0</v>
      </c>
      <c r="D193" s="31">
        <v>78</v>
      </c>
      <c r="E193" s="31">
        <v>0</v>
      </c>
      <c r="F193" s="31">
        <v>0</v>
      </c>
    </row>
    <row r="194" spans="1:6" x14ac:dyDescent="0.3">
      <c r="A194" t="s">
        <v>249</v>
      </c>
      <c r="B194" t="s">
        <v>180</v>
      </c>
      <c r="C194" s="31">
        <v>0</v>
      </c>
      <c r="D194" s="31">
        <v>0</v>
      </c>
      <c r="E194" s="31">
        <v>0</v>
      </c>
      <c r="F194" s="31">
        <v>204.75</v>
      </c>
    </row>
    <row r="195" spans="1:6" x14ac:dyDescent="0.3">
      <c r="A195" t="s">
        <v>249</v>
      </c>
      <c r="B195" t="s">
        <v>181</v>
      </c>
      <c r="C195" s="31">
        <v>0</v>
      </c>
      <c r="D195" s="31">
        <v>117</v>
      </c>
      <c r="E195" s="31">
        <v>0</v>
      </c>
      <c r="F195" s="31">
        <v>0</v>
      </c>
    </row>
    <row r="196" spans="1:6" x14ac:dyDescent="0.3">
      <c r="A196" t="s">
        <v>249</v>
      </c>
      <c r="B196" t="s">
        <v>168</v>
      </c>
      <c r="C196" s="31">
        <v>0</v>
      </c>
      <c r="D196" s="31">
        <v>0</v>
      </c>
      <c r="E196" s="31">
        <v>390</v>
      </c>
      <c r="F196" s="31">
        <v>0</v>
      </c>
    </row>
    <row r="197" spans="1:6" x14ac:dyDescent="0.3">
      <c r="A197" t="s">
        <v>249</v>
      </c>
      <c r="B197" t="s">
        <v>217</v>
      </c>
      <c r="C197" s="31">
        <v>187.2</v>
      </c>
      <c r="D197" s="31">
        <v>0</v>
      </c>
      <c r="E197" s="31">
        <v>0</v>
      </c>
      <c r="F197" s="31">
        <v>0</v>
      </c>
    </row>
    <row r="198" spans="1:6" x14ac:dyDescent="0.3">
      <c r="A198" t="s">
        <v>249</v>
      </c>
      <c r="B198" t="s">
        <v>203</v>
      </c>
      <c r="C198" s="31">
        <v>312</v>
      </c>
      <c r="D198" s="31">
        <v>0</v>
      </c>
      <c r="E198" s="31">
        <v>0</v>
      </c>
      <c r="F198" s="31">
        <v>0</v>
      </c>
    </row>
    <row r="199" spans="1:6" x14ac:dyDescent="0.3">
      <c r="A199" t="s">
        <v>251</v>
      </c>
      <c r="B199" t="s">
        <v>161</v>
      </c>
      <c r="C199" s="31">
        <v>0</v>
      </c>
      <c r="D199" s="31">
        <v>560</v>
      </c>
      <c r="E199" s="31">
        <v>0</v>
      </c>
      <c r="F199" s="31">
        <v>0</v>
      </c>
    </row>
    <row r="200" spans="1:6" x14ac:dyDescent="0.3">
      <c r="A200" t="s">
        <v>251</v>
      </c>
      <c r="B200" t="s">
        <v>171</v>
      </c>
      <c r="C200" s="31">
        <v>0</v>
      </c>
      <c r="D200" s="31">
        <v>0</v>
      </c>
      <c r="E200" s="31">
        <v>0</v>
      </c>
      <c r="F200" s="31">
        <v>554.4</v>
      </c>
    </row>
    <row r="201" spans="1:6" x14ac:dyDescent="0.3">
      <c r="A201" t="s">
        <v>251</v>
      </c>
      <c r="B201" t="s">
        <v>210</v>
      </c>
      <c r="C201" s="31">
        <v>0</v>
      </c>
      <c r="D201" s="31">
        <v>0</v>
      </c>
      <c r="E201" s="31">
        <v>0</v>
      </c>
      <c r="F201" s="31">
        <v>140</v>
      </c>
    </row>
    <row r="202" spans="1:6" x14ac:dyDescent="0.3">
      <c r="A202" t="s">
        <v>251</v>
      </c>
      <c r="B202" t="s">
        <v>217</v>
      </c>
      <c r="C202" s="31">
        <v>179.2</v>
      </c>
      <c r="D202" s="31">
        <v>105</v>
      </c>
      <c r="E202" s="31">
        <v>0</v>
      </c>
      <c r="F202" s="31">
        <v>0</v>
      </c>
    </row>
    <row r="203" spans="1:6" x14ac:dyDescent="0.3">
      <c r="A203" t="s">
        <v>251</v>
      </c>
      <c r="B203" t="s">
        <v>178</v>
      </c>
      <c r="C203" s="31">
        <v>0</v>
      </c>
      <c r="D203" s="31">
        <v>0</v>
      </c>
      <c r="E203" s="31">
        <v>0</v>
      </c>
      <c r="F203" s="31">
        <v>196</v>
      </c>
    </row>
    <row r="204" spans="1:6" x14ac:dyDescent="0.3">
      <c r="A204" t="s">
        <v>251</v>
      </c>
      <c r="B204" t="s">
        <v>173</v>
      </c>
      <c r="C204" s="31">
        <v>372.4</v>
      </c>
      <c r="D204" s="31">
        <v>0</v>
      </c>
      <c r="E204" s="31">
        <v>0</v>
      </c>
      <c r="F204" s="31">
        <v>0</v>
      </c>
    </row>
    <row r="205" spans="1:6" x14ac:dyDescent="0.3">
      <c r="A205" t="s">
        <v>252</v>
      </c>
      <c r="B205" t="s">
        <v>165</v>
      </c>
      <c r="C205" s="31">
        <v>0</v>
      </c>
      <c r="D205" s="31">
        <v>3159</v>
      </c>
      <c r="E205" s="31">
        <v>0</v>
      </c>
      <c r="F205" s="31">
        <v>0</v>
      </c>
    </row>
    <row r="206" spans="1:6" x14ac:dyDescent="0.3">
      <c r="A206" t="s">
        <v>252</v>
      </c>
      <c r="B206" t="s">
        <v>167</v>
      </c>
      <c r="C206" s="31">
        <v>0</v>
      </c>
      <c r="D206" s="31">
        <v>0</v>
      </c>
      <c r="E206" s="31">
        <v>1701</v>
      </c>
      <c r="F206" s="31">
        <v>0</v>
      </c>
    </row>
    <row r="207" spans="1:6" x14ac:dyDescent="0.3">
      <c r="A207" t="s">
        <v>252</v>
      </c>
      <c r="B207" t="s">
        <v>185</v>
      </c>
      <c r="C207" s="31">
        <v>0</v>
      </c>
      <c r="D207" s="31">
        <v>0</v>
      </c>
      <c r="E207" s="31">
        <v>1360.8</v>
      </c>
      <c r="F207" s="31">
        <v>0</v>
      </c>
    </row>
    <row r="208" spans="1:6" x14ac:dyDescent="0.3">
      <c r="A208" t="s">
        <v>252</v>
      </c>
      <c r="B208" t="s">
        <v>172</v>
      </c>
      <c r="C208" s="31">
        <v>0</v>
      </c>
      <c r="D208" s="31">
        <v>1093.5</v>
      </c>
      <c r="E208" s="31">
        <v>0</v>
      </c>
      <c r="F208" s="31">
        <v>0</v>
      </c>
    </row>
    <row r="209" spans="1:6" x14ac:dyDescent="0.3">
      <c r="A209" t="s">
        <v>253</v>
      </c>
      <c r="B209" t="s">
        <v>250</v>
      </c>
      <c r="C209" s="31">
        <v>0</v>
      </c>
      <c r="D209" s="31">
        <v>0</v>
      </c>
      <c r="E209" s="31">
        <v>80</v>
      </c>
      <c r="F209" s="31">
        <v>0</v>
      </c>
    </row>
    <row r="210" spans="1:6" x14ac:dyDescent="0.3">
      <c r="A210" t="s">
        <v>253</v>
      </c>
      <c r="B210" t="s">
        <v>181</v>
      </c>
      <c r="C210" s="31">
        <v>112</v>
      </c>
      <c r="D210" s="31">
        <v>150</v>
      </c>
      <c r="E210" s="31">
        <v>0</v>
      </c>
      <c r="F210" s="31">
        <v>0</v>
      </c>
    </row>
    <row r="211" spans="1:6" x14ac:dyDescent="0.3">
      <c r="A211" t="s">
        <v>253</v>
      </c>
      <c r="B211" t="s">
        <v>195</v>
      </c>
      <c r="C211" s="31">
        <v>0</v>
      </c>
      <c r="D211" s="31">
        <v>0</v>
      </c>
      <c r="E211" s="31">
        <v>0</v>
      </c>
      <c r="F211" s="31">
        <v>380</v>
      </c>
    </row>
    <row r="212" spans="1:6" x14ac:dyDescent="0.3">
      <c r="A212" t="s">
        <v>253</v>
      </c>
      <c r="B212" t="s">
        <v>213</v>
      </c>
      <c r="C212" s="31">
        <v>0</v>
      </c>
      <c r="D212" s="31">
        <v>0</v>
      </c>
      <c r="E212" s="31">
        <v>60</v>
      </c>
      <c r="F212" s="31">
        <v>0</v>
      </c>
    </row>
    <row r="213" spans="1:6" x14ac:dyDescent="0.3">
      <c r="A213" t="s">
        <v>253</v>
      </c>
      <c r="B213" t="s">
        <v>165</v>
      </c>
      <c r="C213" s="31">
        <v>400</v>
      </c>
      <c r="D213" s="31">
        <v>0</v>
      </c>
      <c r="E213" s="31">
        <v>0</v>
      </c>
      <c r="F213" s="31">
        <v>0</v>
      </c>
    </row>
    <row r="214" spans="1:6" x14ac:dyDescent="0.3">
      <c r="A214" t="s">
        <v>253</v>
      </c>
      <c r="B214" t="s">
        <v>254</v>
      </c>
      <c r="C214" s="31">
        <v>0</v>
      </c>
      <c r="D214" s="31">
        <v>0</v>
      </c>
      <c r="E214" s="31">
        <v>0</v>
      </c>
      <c r="F214" s="31">
        <v>400</v>
      </c>
    </row>
    <row r="215" spans="1:6" x14ac:dyDescent="0.3">
      <c r="A215" t="s">
        <v>253</v>
      </c>
      <c r="B215" t="s">
        <v>197</v>
      </c>
      <c r="C215" s="31">
        <v>0</v>
      </c>
      <c r="D215" s="31">
        <v>0</v>
      </c>
      <c r="E215" s="31">
        <v>225</v>
      </c>
      <c r="F215" s="31">
        <v>304</v>
      </c>
    </row>
    <row r="216" spans="1:6" x14ac:dyDescent="0.3">
      <c r="A216" t="s">
        <v>253</v>
      </c>
      <c r="B216" t="s">
        <v>166</v>
      </c>
      <c r="C216" s="31">
        <v>0</v>
      </c>
      <c r="D216" s="31">
        <v>54</v>
      </c>
      <c r="E216" s="31">
        <v>0</v>
      </c>
      <c r="F216" s="31">
        <v>0</v>
      </c>
    </row>
    <row r="217" spans="1:6" x14ac:dyDescent="0.3">
      <c r="A217" t="s">
        <v>253</v>
      </c>
      <c r="B217" t="s">
        <v>244</v>
      </c>
      <c r="C217" s="31">
        <v>0</v>
      </c>
      <c r="D217" s="31">
        <v>0</v>
      </c>
      <c r="E217" s="31">
        <v>108</v>
      </c>
      <c r="F217" s="31">
        <v>0</v>
      </c>
    </row>
    <row r="218" spans="1:6" x14ac:dyDescent="0.3">
      <c r="A218" t="s">
        <v>253</v>
      </c>
      <c r="B218" t="s">
        <v>228</v>
      </c>
      <c r="C218" s="31">
        <v>272</v>
      </c>
      <c r="D218" s="31">
        <v>0</v>
      </c>
      <c r="E218" s="31">
        <v>0</v>
      </c>
      <c r="F218" s="31">
        <v>0</v>
      </c>
    </row>
    <row r="219" spans="1:6" x14ac:dyDescent="0.3">
      <c r="A219" t="s">
        <v>253</v>
      </c>
      <c r="B219" t="s">
        <v>255</v>
      </c>
      <c r="C219" s="31">
        <v>240</v>
      </c>
      <c r="D219" s="31">
        <v>0</v>
      </c>
      <c r="E219" s="31">
        <v>0</v>
      </c>
      <c r="F219" s="31">
        <v>0</v>
      </c>
    </row>
    <row r="220" spans="1:6" x14ac:dyDescent="0.3">
      <c r="A220" t="s">
        <v>253</v>
      </c>
      <c r="B220" t="s">
        <v>176</v>
      </c>
      <c r="C220" s="31">
        <v>0</v>
      </c>
      <c r="D220" s="31">
        <v>0</v>
      </c>
      <c r="E220" s="31">
        <v>0</v>
      </c>
      <c r="F220" s="31">
        <v>300</v>
      </c>
    </row>
    <row r="221" spans="1:6" x14ac:dyDescent="0.3">
      <c r="A221" t="s">
        <v>253</v>
      </c>
      <c r="B221" t="s">
        <v>200</v>
      </c>
      <c r="C221" s="31">
        <v>0</v>
      </c>
      <c r="D221" s="31">
        <v>0</v>
      </c>
      <c r="E221" s="31">
        <v>420</v>
      </c>
      <c r="F221" s="31">
        <v>0</v>
      </c>
    </row>
    <row r="222" spans="1:6" x14ac:dyDescent="0.3">
      <c r="A222" t="s">
        <v>253</v>
      </c>
      <c r="B222" t="s">
        <v>256</v>
      </c>
      <c r="C222" s="31">
        <v>96</v>
      </c>
      <c r="D222" s="31">
        <v>0</v>
      </c>
      <c r="E222" s="31">
        <v>0</v>
      </c>
      <c r="F222" s="31">
        <v>0</v>
      </c>
    </row>
    <row r="223" spans="1:6" x14ac:dyDescent="0.3">
      <c r="A223" t="s">
        <v>253</v>
      </c>
      <c r="B223" t="s">
        <v>257</v>
      </c>
      <c r="C223" s="31">
        <v>126</v>
      </c>
      <c r="D223" s="31">
        <v>0</v>
      </c>
      <c r="E223" s="31">
        <v>0</v>
      </c>
      <c r="F223" s="31">
        <v>0</v>
      </c>
    </row>
    <row r="224" spans="1:6" x14ac:dyDescent="0.3">
      <c r="A224" t="s">
        <v>253</v>
      </c>
      <c r="B224" t="s">
        <v>189</v>
      </c>
      <c r="C224" s="31">
        <v>216</v>
      </c>
      <c r="D224" s="31">
        <v>0</v>
      </c>
      <c r="E224" s="31">
        <v>0</v>
      </c>
      <c r="F224" s="31">
        <v>0</v>
      </c>
    </row>
    <row r="225" spans="1:6" x14ac:dyDescent="0.3">
      <c r="A225" t="s">
        <v>253</v>
      </c>
      <c r="B225" t="s">
        <v>177</v>
      </c>
      <c r="C225" s="31">
        <v>0</v>
      </c>
      <c r="D225" s="31">
        <v>0</v>
      </c>
      <c r="E225" s="31">
        <v>600</v>
      </c>
      <c r="F225" s="31">
        <v>0</v>
      </c>
    </row>
    <row r="226" spans="1:6" x14ac:dyDescent="0.3">
      <c r="A226" t="s">
        <v>253</v>
      </c>
      <c r="B226" t="s">
        <v>190</v>
      </c>
      <c r="C226" s="31">
        <v>0</v>
      </c>
      <c r="D226" s="31">
        <v>0</v>
      </c>
      <c r="E226" s="31">
        <v>0</v>
      </c>
      <c r="F226" s="31">
        <v>50</v>
      </c>
    </row>
    <row r="227" spans="1:6" x14ac:dyDescent="0.3">
      <c r="A227" t="s">
        <v>253</v>
      </c>
      <c r="B227" t="s">
        <v>247</v>
      </c>
      <c r="C227" s="31">
        <v>0</v>
      </c>
      <c r="D227" s="31">
        <v>0</v>
      </c>
      <c r="E227" s="31">
        <v>240</v>
      </c>
      <c r="F227" s="31">
        <v>0</v>
      </c>
    </row>
    <row r="228" spans="1:6" x14ac:dyDescent="0.3">
      <c r="A228" t="s">
        <v>253</v>
      </c>
      <c r="B228" t="s">
        <v>225</v>
      </c>
      <c r="C228" s="31">
        <v>0</v>
      </c>
      <c r="D228" s="31">
        <v>320</v>
      </c>
      <c r="E228" s="31">
        <v>0</v>
      </c>
      <c r="F228" s="31">
        <v>0</v>
      </c>
    </row>
    <row r="229" spans="1:6" x14ac:dyDescent="0.3">
      <c r="A229" t="s">
        <v>253</v>
      </c>
      <c r="B229" t="s">
        <v>173</v>
      </c>
      <c r="C229" s="31">
        <v>0</v>
      </c>
      <c r="D229" s="31">
        <v>120</v>
      </c>
      <c r="E229" s="31">
        <v>0</v>
      </c>
      <c r="F229" s="31">
        <v>0</v>
      </c>
    </row>
    <row r="230" spans="1:6" x14ac:dyDescent="0.3">
      <c r="A230" t="s">
        <v>258</v>
      </c>
      <c r="B230" t="s">
        <v>162</v>
      </c>
      <c r="C230" s="31">
        <v>115.2</v>
      </c>
      <c r="D230" s="31">
        <v>0</v>
      </c>
      <c r="E230" s="31">
        <v>0</v>
      </c>
      <c r="F230" s="31">
        <v>0</v>
      </c>
    </row>
    <row r="231" spans="1:6" x14ac:dyDescent="0.3">
      <c r="A231" t="s">
        <v>258</v>
      </c>
      <c r="B231" t="s">
        <v>181</v>
      </c>
      <c r="C231" s="31">
        <v>0</v>
      </c>
      <c r="D231" s="31">
        <v>360</v>
      </c>
      <c r="E231" s="31">
        <v>0</v>
      </c>
      <c r="F231" s="31">
        <v>0</v>
      </c>
    </row>
    <row r="232" spans="1:6" x14ac:dyDescent="0.3">
      <c r="A232" t="s">
        <v>258</v>
      </c>
      <c r="B232" t="s">
        <v>220</v>
      </c>
      <c r="C232" s="31">
        <v>0</v>
      </c>
      <c r="D232" s="31">
        <v>54</v>
      </c>
      <c r="E232" s="31">
        <v>0</v>
      </c>
      <c r="F232" s="31">
        <v>0</v>
      </c>
    </row>
    <row r="233" spans="1:6" x14ac:dyDescent="0.3">
      <c r="A233" t="s">
        <v>258</v>
      </c>
      <c r="B233" t="s">
        <v>206</v>
      </c>
      <c r="C233" s="31">
        <v>504</v>
      </c>
      <c r="D233" s="31">
        <v>0</v>
      </c>
      <c r="E233" s="31">
        <v>0</v>
      </c>
      <c r="F233" s="31">
        <v>0</v>
      </c>
    </row>
    <row r="234" spans="1:6" x14ac:dyDescent="0.3">
      <c r="A234" t="s">
        <v>258</v>
      </c>
      <c r="B234" t="s">
        <v>165</v>
      </c>
      <c r="C234" s="31">
        <v>0</v>
      </c>
      <c r="D234" s="31">
        <v>0</v>
      </c>
      <c r="E234" s="31">
        <v>405</v>
      </c>
      <c r="F234" s="31">
        <v>0</v>
      </c>
    </row>
    <row r="235" spans="1:6" x14ac:dyDescent="0.3">
      <c r="A235" t="s">
        <v>258</v>
      </c>
      <c r="B235" t="s">
        <v>254</v>
      </c>
      <c r="C235" s="31">
        <v>0</v>
      </c>
      <c r="D235" s="31">
        <v>0</v>
      </c>
      <c r="E235" s="31">
        <v>0</v>
      </c>
      <c r="F235" s="31">
        <v>270</v>
      </c>
    </row>
    <row r="236" spans="1:6" x14ac:dyDescent="0.3">
      <c r="A236" t="s">
        <v>258</v>
      </c>
      <c r="B236" t="s">
        <v>197</v>
      </c>
      <c r="C236" s="31">
        <v>0</v>
      </c>
      <c r="D236" s="31">
        <v>0</v>
      </c>
      <c r="E236" s="31">
        <v>486</v>
      </c>
      <c r="F236" s="31">
        <v>0</v>
      </c>
    </row>
    <row r="237" spans="1:6" x14ac:dyDescent="0.3">
      <c r="A237" t="s">
        <v>258</v>
      </c>
      <c r="B237" t="s">
        <v>198</v>
      </c>
      <c r="C237" s="31">
        <v>0</v>
      </c>
      <c r="D237" s="31">
        <v>306</v>
      </c>
      <c r="E237" s="31">
        <v>0</v>
      </c>
      <c r="F237" s="31">
        <v>0</v>
      </c>
    </row>
    <row r="238" spans="1:6" x14ac:dyDescent="0.3">
      <c r="A238" t="s">
        <v>258</v>
      </c>
      <c r="B238" t="s">
        <v>244</v>
      </c>
      <c r="C238" s="31">
        <v>0</v>
      </c>
      <c r="D238" s="31">
        <v>0</v>
      </c>
      <c r="E238" s="31">
        <v>72</v>
      </c>
      <c r="F238" s="31">
        <v>0</v>
      </c>
    </row>
    <row r="239" spans="1:6" x14ac:dyDescent="0.3">
      <c r="A239" t="s">
        <v>258</v>
      </c>
      <c r="B239" t="s">
        <v>176</v>
      </c>
      <c r="C239" s="31">
        <v>0</v>
      </c>
      <c r="D239" s="31">
        <v>0</v>
      </c>
      <c r="E239" s="31">
        <v>0</v>
      </c>
      <c r="F239" s="31">
        <v>121.5</v>
      </c>
    </row>
    <row r="240" spans="1:6" x14ac:dyDescent="0.3">
      <c r="A240" t="s">
        <v>258</v>
      </c>
      <c r="B240" t="s">
        <v>200</v>
      </c>
      <c r="C240" s="31">
        <v>691.2</v>
      </c>
      <c r="D240" s="31">
        <v>0</v>
      </c>
      <c r="E240" s="31">
        <v>0</v>
      </c>
      <c r="F240" s="31">
        <v>0</v>
      </c>
    </row>
    <row r="241" spans="1:6" x14ac:dyDescent="0.3">
      <c r="A241" t="s">
        <v>258</v>
      </c>
      <c r="B241" t="s">
        <v>259</v>
      </c>
      <c r="C241" s="31">
        <v>0</v>
      </c>
      <c r="D241" s="31">
        <v>0</v>
      </c>
      <c r="E241" s="31">
        <v>360</v>
      </c>
      <c r="F241" s="31">
        <v>378</v>
      </c>
    </row>
    <row r="242" spans="1:6" x14ac:dyDescent="0.3">
      <c r="A242" t="s">
        <v>258</v>
      </c>
      <c r="B242" t="s">
        <v>237</v>
      </c>
      <c r="C242" s="31">
        <v>0</v>
      </c>
      <c r="D242" s="31">
        <v>540</v>
      </c>
      <c r="E242" s="31">
        <v>0</v>
      </c>
      <c r="F242" s="31">
        <v>0</v>
      </c>
    </row>
    <row r="243" spans="1:6" x14ac:dyDescent="0.3">
      <c r="A243" t="s">
        <v>258</v>
      </c>
      <c r="B243" t="s">
        <v>203</v>
      </c>
      <c r="C243" s="31">
        <v>0</v>
      </c>
      <c r="D243" s="31">
        <v>108</v>
      </c>
      <c r="E243" s="31">
        <v>0</v>
      </c>
      <c r="F243" s="31">
        <v>0</v>
      </c>
    </row>
    <row r="244" spans="1:6" x14ac:dyDescent="0.3">
      <c r="A244" t="s">
        <v>258</v>
      </c>
      <c r="B244" t="s">
        <v>173</v>
      </c>
      <c r="C244" s="31">
        <v>0</v>
      </c>
      <c r="D244" s="31">
        <v>0</v>
      </c>
      <c r="E244" s="31">
        <v>0</v>
      </c>
      <c r="F244" s="31">
        <v>504</v>
      </c>
    </row>
    <row r="245" spans="1:6" x14ac:dyDescent="0.3">
      <c r="A245" t="s">
        <v>260</v>
      </c>
      <c r="B245" t="s">
        <v>196</v>
      </c>
      <c r="C245" s="31">
        <v>124.83</v>
      </c>
      <c r="D245" s="31">
        <v>0</v>
      </c>
      <c r="E245" s="31">
        <v>0</v>
      </c>
      <c r="F245" s="31">
        <v>0</v>
      </c>
    </row>
    <row r="246" spans="1:6" x14ac:dyDescent="0.3">
      <c r="A246" t="s">
        <v>260</v>
      </c>
      <c r="B246" t="s">
        <v>197</v>
      </c>
      <c r="C246" s="31">
        <v>0</v>
      </c>
      <c r="D246" s="31">
        <v>0</v>
      </c>
      <c r="E246" s="31">
        <v>124.2</v>
      </c>
      <c r="F246" s="31">
        <v>0</v>
      </c>
    </row>
    <row r="247" spans="1:6" x14ac:dyDescent="0.3">
      <c r="A247" t="s">
        <v>260</v>
      </c>
      <c r="B247" t="s">
        <v>182</v>
      </c>
      <c r="C247" s="31">
        <v>0</v>
      </c>
      <c r="D247" s="31">
        <v>0</v>
      </c>
      <c r="E247" s="31">
        <v>0</v>
      </c>
      <c r="F247" s="31">
        <v>46</v>
      </c>
    </row>
    <row r="248" spans="1:6" x14ac:dyDescent="0.3">
      <c r="A248" t="s">
        <v>260</v>
      </c>
      <c r="B248" t="s">
        <v>166</v>
      </c>
      <c r="C248" s="31">
        <v>0</v>
      </c>
      <c r="D248" s="31">
        <v>92</v>
      </c>
      <c r="E248" s="31">
        <v>0</v>
      </c>
      <c r="F248" s="31">
        <v>0</v>
      </c>
    </row>
    <row r="249" spans="1:6" x14ac:dyDescent="0.3">
      <c r="A249" t="s">
        <v>260</v>
      </c>
      <c r="B249" t="s">
        <v>244</v>
      </c>
      <c r="C249" s="31">
        <v>0</v>
      </c>
      <c r="D249" s="31">
        <v>0</v>
      </c>
      <c r="E249" s="31">
        <v>248.4</v>
      </c>
      <c r="F249" s="31">
        <v>0</v>
      </c>
    </row>
    <row r="250" spans="1:6" x14ac:dyDescent="0.3">
      <c r="A250" t="s">
        <v>260</v>
      </c>
      <c r="B250" t="s">
        <v>245</v>
      </c>
      <c r="C250" s="31">
        <v>0</v>
      </c>
      <c r="D250" s="31">
        <v>0</v>
      </c>
      <c r="E250" s="31">
        <v>46</v>
      </c>
      <c r="F250" s="31">
        <v>0</v>
      </c>
    </row>
    <row r="251" spans="1:6" x14ac:dyDescent="0.3">
      <c r="A251" t="s">
        <v>260</v>
      </c>
      <c r="B251" t="s">
        <v>176</v>
      </c>
      <c r="C251" s="31">
        <v>0</v>
      </c>
      <c r="D251" s="31">
        <v>0</v>
      </c>
      <c r="E251" s="31">
        <v>0</v>
      </c>
      <c r="F251" s="31">
        <v>48.3</v>
      </c>
    </row>
    <row r="252" spans="1:6" x14ac:dyDescent="0.3">
      <c r="A252" t="s">
        <v>260</v>
      </c>
      <c r="B252" t="s">
        <v>259</v>
      </c>
      <c r="C252" s="31">
        <v>24.82</v>
      </c>
      <c r="D252" s="31">
        <v>0</v>
      </c>
      <c r="E252" s="31">
        <v>276</v>
      </c>
      <c r="F252" s="31">
        <v>0</v>
      </c>
    </row>
    <row r="253" spans="1:6" x14ac:dyDescent="0.3">
      <c r="A253" t="s">
        <v>260</v>
      </c>
      <c r="B253" t="s">
        <v>189</v>
      </c>
      <c r="C253" s="31">
        <v>36.5</v>
      </c>
      <c r="D253" s="31">
        <v>0</v>
      </c>
      <c r="E253" s="31">
        <v>0</v>
      </c>
      <c r="F253" s="31">
        <v>0</v>
      </c>
    </row>
    <row r="254" spans="1:6" x14ac:dyDescent="0.3">
      <c r="A254" t="s">
        <v>260</v>
      </c>
      <c r="B254" t="s">
        <v>177</v>
      </c>
      <c r="C254" s="31">
        <v>0</v>
      </c>
      <c r="D254" s="31">
        <v>0</v>
      </c>
      <c r="E254" s="31">
        <v>0</v>
      </c>
      <c r="F254" s="31">
        <v>437</v>
      </c>
    </row>
    <row r="255" spans="1:6" x14ac:dyDescent="0.3">
      <c r="A255" t="s">
        <v>260</v>
      </c>
      <c r="B255" t="s">
        <v>201</v>
      </c>
      <c r="C255" s="31">
        <v>292</v>
      </c>
      <c r="D255" s="31">
        <v>0</v>
      </c>
      <c r="E255" s="31">
        <v>0</v>
      </c>
      <c r="F255" s="31">
        <v>0</v>
      </c>
    </row>
    <row r="256" spans="1:6" x14ac:dyDescent="0.3">
      <c r="A256" t="s">
        <v>260</v>
      </c>
      <c r="B256" t="s">
        <v>171</v>
      </c>
      <c r="C256" s="31">
        <v>0</v>
      </c>
      <c r="D256" s="31">
        <v>257.60000000000002</v>
      </c>
      <c r="E256" s="31">
        <v>0</v>
      </c>
      <c r="F256" s="31">
        <v>110.4</v>
      </c>
    </row>
    <row r="257" spans="1:6" x14ac:dyDescent="0.3">
      <c r="A257" t="s">
        <v>260</v>
      </c>
      <c r="B257" t="s">
        <v>223</v>
      </c>
      <c r="C257" s="31">
        <v>153.30000000000001</v>
      </c>
      <c r="D257" s="31">
        <v>0</v>
      </c>
      <c r="E257" s="31">
        <v>0</v>
      </c>
      <c r="F257" s="31">
        <v>0</v>
      </c>
    </row>
    <row r="258" spans="1:6" x14ac:dyDescent="0.3">
      <c r="A258" t="s">
        <v>260</v>
      </c>
      <c r="B258" t="s">
        <v>217</v>
      </c>
      <c r="C258" s="31">
        <v>166.44</v>
      </c>
      <c r="D258" s="31">
        <v>0</v>
      </c>
      <c r="E258" s="31">
        <v>0</v>
      </c>
      <c r="F258" s="31">
        <v>0</v>
      </c>
    </row>
    <row r="259" spans="1:6" x14ac:dyDescent="0.3">
      <c r="A259" t="s">
        <v>260</v>
      </c>
      <c r="B259" t="s">
        <v>224</v>
      </c>
      <c r="C259" s="31">
        <v>0</v>
      </c>
      <c r="D259" s="31">
        <v>0</v>
      </c>
      <c r="E259" s="31">
        <v>64.400000000000006</v>
      </c>
      <c r="F259" s="31">
        <v>0</v>
      </c>
    </row>
    <row r="260" spans="1:6" x14ac:dyDescent="0.3">
      <c r="A260" t="s">
        <v>260</v>
      </c>
      <c r="B260" t="s">
        <v>225</v>
      </c>
      <c r="C260" s="31">
        <v>0</v>
      </c>
      <c r="D260" s="31">
        <v>0</v>
      </c>
      <c r="E260" s="31">
        <v>82.8</v>
      </c>
      <c r="F260" s="31">
        <v>0</v>
      </c>
    </row>
    <row r="261" spans="1:6" x14ac:dyDescent="0.3">
      <c r="A261" t="s">
        <v>260</v>
      </c>
      <c r="B261" t="s">
        <v>203</v>
      </c>
      <c r="C261" s="31">
        <v>146</v>
      </c>
      <c r="D261" s="31">
        <v>0</v>
      </c>
      <c r="E261" s="31">
        <v>0</v>
      </c>
      <c r="F261" s="31">
        <v>0</v>
      </c>
    </row>
    <row r="262" spans="1:6" x14ac:dyDescent="0.3">
      <c r="A262" t="s">
        <v>260</v>
      </c>
      <c r="B262" t="s">
        <v>230</v>
      </c>
      <c r="C262" s="31">
        <v>0</v>
      </c>
      <c r="D262" s="31">
        <v>0</v>
      </c>
      <c r="E262" s="31">
        <v>0</v>
      </c>
      <c r="F262" s="31">
        <v>209.76</v>
      </c>
    </row>
    <row r="263" spans="1:6" x14ac:dyDescent="0.3">
      <c r="A263" t="s">
        <v>261</v>
      </c>
      <c r="B263" t="s">
        <v>180</v>
      </c>
      <c r="C263" s="31">
        <v>0</v>
      </c>
      <c r="D263" s="31">
        <v>1275</v>
      </c>
      <c r="E263" s="31">
        <v>0</v>
      </c>
      <c r="F263" s="31">
        <v>0</v>
      </c>
    </row>
    <row r="264" spans="1:6" x14ac:dyDescent="0.3">
      <c r="A264" t="s">
        <v>261</v>
      </c>
      <c r="B264" t="s">
        <v>181</v>
      </c>
      <c r="C264" s="31">
        <v>720</v>
      </c>
      <c r="D264" s="31">
        <v>0</v>
      </c>
      <c r="E264" s="31">
        <v>0</v>
      </c>
      <c r="F264" s="31">
        <v>0</v>
      </c>
    </row>
    <row r="265" spans="1:6" x14ac:dyDescent="0.3">
      <c r="A265" t="s">
        <v>261</v>
      </c>
      <c r="B265" t="s">
        <v>254</v>
      </c>
      <c r="C265" s="31">
        <v>0</v>
      </c>
      <c r="D265" s="31">
        <v>0</v>
      </c>
      <c r="E265" s="31">
        <v>1050</v>
      </c>
      <c r="F265" s="31">
        <v>0</v>
      </c>
    </row>
    <row r="266" spans="1:6" x14ac:dyDescent="0.3">
      <c r="A266" t="s">
        <v>261</v>
      </c>
      <c r="B266" t="s">
        <v>199</v>
      </c>
      <c r="C266" s="31">
        <v>0</v>
      </c>
      <c r="D266" s="31">
        <v>0</v>
      </c>
      <c r="E266" s="31">
        <v>0</v>
      </c>
      <c r="F266" s="31">
        <v>76.5</v>
      </c>
    </row>
    <row r="267" spans="1:6" x14ac:dyDescent="0.3">
      <c r="A267" t="s">
        <v>261</v>
      </c>
      <c r="B267" t="s">
        <v>187</v>
      </c>
      <c r="C267" s="31">
        <v>0</v>
      </c>
      <c r="D267" s="31">
        <v>0</v>
      </c>
      <c r="E267" s="31">
        <v>0</v>
      </c>
      <c r="F267" s="31">
        <v>1050</v>
      </c>
    </row>
    <row r="268" spans="1:6" x14ac:dyDescent="0.3">
      <c r="A268" t="s">
        <v>261</v>
      </c>
      <c r="B268" t="s">
        <v>177</v>
      </c>
      <c r="C268" s="31">
        <v>0</v>
      </c>
      <c r="D268" s="31">
        <v>0</v>
      </c>
      <c r="E268" s="31">
        <v>0</v>
      </c>
      <c r="F268" s="31">
        <v>2700</v>
      </c>
    </row>
    <row r="269" spans="1:6" x14ac:dyDescent="0.3">
      <c r="A269" t="s">
        <v>261</v>
      </c>
      <c r="B269" t="s">
        <v>171</v>
      </c>
      <c r="C269" s="31">
        <v>0</v>
      </c>
      <c r="D269" s="31">
        <v>0</v>
      </c>
      <c r="E269" s="31">
        <v>1350</v>
      </c>
      <c r="F269" s="31">
        <v>0</v>
      </c>
    </row>
    <row r="270" spans="1:6" x14ac:dyDescent="0.3">
      <c r="A270" t="s">
        <v>261</v>
      </c>
      <c r="B270" t="s">
        <v>178</v>
      </c>
      <c r="C270" s="31">
        <v>0</v>
      </c>
      <c r="D270" s="31">
        <v>0</v>
      </c>
      <c r="E270" s="31">
        <v>300</v>
      </c>
      <c r="F270" s="31">
        <v>0</v>
      </c>
    </row>
    <row r="271" spans="1:6" x14ac:dyDescent="0.3">
      <c r="A271" t="s">
        <v>261</v>
      </c>
      <c r="B271" t="s">
        <v>237</v>
      </c>
      <c r="C271" s="31">
        <v>364.8</v>
      </c>
      <c r="D271" s="31">
        <v>300</v>
      </c>
      <c r="E271" s="31">
        <v>0</v>
      </c>
      <c r="F271" s="31">
        <v>0</v>
      </c>
    </row>
    <row r="272" spans="1:6" x14ac:dyDescent="0.3">
      <c r="A272" t="s">
        <v>262</v>
      </c>
      <c r="B272" t="s">
        <v>175</v>
      </c>
      <c r="C272" s="31">
        <v>0</v>
      </c>
      <c r="D272" s="31">
        <v>0</v>
      </c>
      <c r="E272" s="31">
        <v>0</v>
      </c>
      <c r="F272" s="31">
        <v>878</v>
      </c>
    </row>
    <row r="273" spans="1:6" x14ac:dyDescent="0.3">
      <c r="A273" t="s">
        <v>262</v>
      </c>
      <c r="B273" t="s">
        <v>165</v>
      </c>
      <c r="C273" s="31">
        <v>2281.5</v>
      </c>
      <c r="D273" s="31">
        <v>0</v>
      </c>
      <c r="E273" s="31">
        <v>0</v>
      </c>
      <c r="F273" s="31">
        <v>0</v>
      </c>
    </row>
    <row r="274" spans="1:6" x14ac:dyDescent="0.3">
      <c r="A274" t="s">
        <v>262</v>
      </c>
      <c r="B274" t="s">
        <v>254</v>
      </c>
      <c r="C274" s="31">
        <v>0</v>
      </c>
      <c r="D274" s="31">
        <v>0</v>
      </c>
      <c r="E274" s="31">
        <v>0</v>
      </c>
      <c r="F274" s="31">
        <v>1317</v>
      </c>
    </row>
    <row r="275" spans="1:6" x14ac:dyDescent="0.3">
      <c r="A275" t="s">
        <v>262</v>
      </c>
      <c r="B275" t="s">
        <v>222</v>
      </c>
      <c r="C275" s="31">
        <v>921.37</v>
      </c>
      <c r="D275" s="31">
        <v>0</v>
      </c>
      <c r="E275" s="31">
        <v>0</v>
      </c>
      <c r="F275" s="31">
        <v>0</v>
      </c>
    </row>
    <row r="276" spans="1:6" x14ac:dyDescent="0.3">
      <c r="A276" t="s">
        <v>262</v>
      </c>
      <c r="B276" t="s">
        <v>246</v>
      </c>
      <c r="C276" s="31">
        <v>0</v>
      </c>
      <c r="D276" s="31">
        <v>263.39999999999998</v>
      </c>
      <c r="E276" s="31">
        <v>0</v>
      </c>
      <c r="F276" s="31">
        <v>0</v>
      </c>
    </row>
    <row r="277" spans="1:6" x14ac:dyDescent="0.3">
      <c r="A277" t="s">
        <v>262</v>
      </c>
      <c r="B277" t="s">
        <v>168</v>
      </c>
      <c r="C277" s="31">
        <v>0</v>
      </c>
      <c r="D277" s="31">
        <v>0</v>
      </c>
      <c r="E277" s="31">
        <v>0</v>
      </c>
      <c r="F277" s="31">
        <v>395.1</v>
      </c>
    </row>
    <row r="278" spans="1:6" x14ac:dyDescent="0.3">
      <c r="A278" t="s">
        <v>262</v>
      </c>
      <c r="B278" t="s">
        <v>173</v>
      </c>
      <c r="C278" s="31">
        <v>0</v>
      </c>
      <c r="D278" s="31">
        <v>0</v>
      </c>
      <c r="E278" s="31">
        <v>842.88</v>
      </c>
      <c r="F278" s="31">
        <v>0</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5BF3-E267-4113-90AD-647CEC0E8076}">
  <dimension ref="A3:E5"/>
  <sheetViews>
    <sheetView workbookViewId="0">
      <selection activeCell="C13" sqref="C13"/>
    </sheetView>
  </sheetViews>
  <sheetFormatPr defaultRowHeight="14.4" x14ac:dyDescent="0.3"/>
  <cols>
    <col min="1" max="1" width="12.5546875" bestFit="1" customWidth="1"/>
    <col min="2" max="2" width="14.44140625" bestFit="1" customWidth="1"/>
    <col min="3" max="3" width="11.5546875" customWidth="1"/>
    <col min="4" max="4" width="12.5546875" bestFit="1" customWidth="1"/>
    <col min="5" max="5" width="14.44140625" bestFit="1" customWidth="1"/>
  </cols>
  <sheetData>
    <row r="3" spans="1:5" x14ac:dyDescent="0.3">
      <c r="A3" s="40" t="s">
        <v>263</v>
      </c>
      <c r="B3" t="s">
        <v>265</v>
      </c>
      <c r="D3" s="40" t="s">
        <v>263</v>
      </c>
      <c r="E3" t="s">
        <v>265</v>
      </c>
    </row>
    <row r="4" spans="1:5" x14ac:dyDescent="0.3">
      <c r="A4" s="41" t="s">
        <v>14</v>
      </c>
      <c r="B4">
        <v>4020</v>
      </c>
      <c r="D4" s="41" t="s">
        <v>266</v>
      </c>
      <c r="E4">
        <v>2620</v>
      </c>
    </row>
    <row r="5" spans="1:5" x14ac:dyDescent="0.3">
      <c r="A5" s="41" t="s">
        <v>7</v>
      </c>
      <c r="B5">
        <v>3000</v>
      </c>
      <c r="D5" s="41" t="s">
        <v>264</v>
      </c>
      <c r="E5">
        <v>2620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457D-A0B5-4752-A066-12F508147252}">
  <dimension ref="A1:L21"/>
  <sheetViews>
    <sheetView workbookViewId="0">
      <selection activeCell="G10" sqref="G10"/>
    </sheetView>
  </sheetViews>
  <sheetFormatPr defaultRowHeight="14.4" x14ac:dyDescent="0.3"/>
  <cols>
    <col min="1" max="1" width="11.77734375" style="1" customWidth="1"/>
    <col min="2" max="3" width="12.21875" style="1" customWidth="1"/>
    <col min="4" max="4" width="10.44140625" style="1" customWidth="1"/>
    <col min="5" max="5" width="10.5546875" style="1" bestFit="1" customWidth="1"/>
    <col min="6" max="6" width="11.109375" style="1" bestFit="1" customWidth="1"/>
    <col min="7" max="9" width="8.88671875" style="1"/>
    <col min="10" max="10" width="16.88671875" style="1" bestFit="1" customWidth="1"/>
    <col min="11" max="16384" width="8.88671875" style="1"/>
  </cols>
  <sheetData>
    <row r="1" spans="1:12" x14ac:dyDescent="0.3">
      <c r="A1" s="1" t="s">
        <v>290</v>
      </c>
      <c r="B1" s="1" t="s">
        <v>291</v>
      </c>
      <c r="C1" s="1" t="s">
        <v>2</v>
      </c>
      <c r="D1" s="1" t="s">
        <v>289</v>
      </c>
      <c r="G1" s="11" t="s">
        <v>269</v>
      </c>
      <c r="J1" s="11" t="s">
        <v>151</v>
      </c>
    </row>
    <row r="2" spans="1:12" x14ac:dyDescent="0.3">
      <c r="A2" s="1" t="s">
        <v>292</v>
      </c>
      <c r="B2" s="1" t="s">
        <v>293</v>
      </c>
      <c r="C2" s="1" t="s">
        <v>294</v>
      </c>
      <c r="D2" s="1">
        <v>55000</v>
      </c>
      <c r="F2" s="52" t="s">
        <v>297</v>
      </c>
      <c r="G2" s="52">
        <f>VLOOKUP(A4,Table20[],4,FALSE)</f>
        <v>8500</v>
      </c>
      <c r="I2" s="52" t="s">
        <v>295</v>
      </c>
      <c r="J2" s="52" t="str">
        <f>_xlfn.XLOOKUP(I2,Table20[Product ID],Table20[Category])</f>
        <v>Electronics</v>
      </c>
      <c r="K2" s="52" t="str">
        <f>_xlfn.XLOOKUP(J2,Table20[Category],Table20[Product ID])</f>
        <v>P101</v>
      </c>
    </row>
    <row r="3" spans="1:12" x14ac:dyDescent="0.3">
      <c r="A3" s="1" t="s">
        <v>295</v>
      </c>
      <c r="B3" s="1" t="s">
        <v>296</v>
      </c>
      <c r="C3" s="1" t="s">
        <v>294</v>
      </c>
      <c r="D3" s="1">
        <v>25000</v>
      </c>
      <c r="F3" s="52" t="s">
        <v>300</v>
      </c>
      <c r="G3" s="52">
        <f>VLOOKUP(A5,Table20[],4,0)</f>
        <v>450</v>
      </c>
      <c r="I3" s="23" t="s">
        <v>292</v>
      </c>
      <c r="J3" s="52" t="str">
        <f>_xlfn.XLOOKUP(I3,Table20[Product ID],Table20[Category])</f>
        <v>Electronics</v>
      </c>
      <c r="K3" s="52" t="str">
        <f>_xlfn.XLOOKUP(J3,Table20[Category],Table20[Product ID])</f>
        <v>P101</v>
      </c>
    </row>
    <row r="4" spans="1:12" x14ac:dyDescent="0.3">
      <c r="A4" s="1" t="s">
        <v>297</v>
      </c>
      <c r="B4" s="1" t="s">
        <v>298</v>
      </c>
      <c r="C4" s="1" t="s">
        <v>299</v>
      </c>
      <c r="D4" s="1">
        <v>8500</v>
      </c>
      <c r="F4" s="52" t="s">
        <v>303</v>
      </c>
      <c r="G4" s="52">
        <f>VLOOKUP(F4,Table20[],4,FALSE)</f>
        <v>120</v>
      </c>
      <c r="I4" s="23" t="s">
        <v>297</v>
      </c>
      <c r="J4" s="52" t="str">
        <f>_xlfn.XLOOKUP(I4,Table20[Product ID],Table20[Category])</f>
        <v>Furniture</v>
      </c>
      <c r="K4" s="52" t="str">
        <f>_xlfn.XLOOKUP(J4,Table20[Category],Table20[Product ID])</f>
        <v>P103</v>
      </c>
    </row>
    <row r="5" spans="1:12" x14ac:dyDescent="0.3">
      <c r="A5" s="1" t="s">
        <v>300</v>
      </c>
      <c r="B5" s="1" t="s">
        <v>301</v>
      </c>
      <c r="C5" s="1" t="s">
        <v>302</v>
      </c>
      <c r="D5" s="1">
        <v>450</v>
      </c>
      <c r="F5" s="52" t="s">
        <v>306</v>
      </c>
      <c r="G5" s="52">
        <f>VLOOKUP(F5,Table20[],4,FALSE)</f>
        <v>3200</v>
      </c>
      <c r="I5" s="53" t="s">
        <v>300</v>
      </c>
      <c r="J5" s="52" t="str">
        <f>_xlfn.XLOOKUP(I5,Table20[Product ID],Table20[Category])</f>
        <v>Kitchen</v>
      </c>
      <c r="K5" s="52" t="str">
        <f>_xlfn.XLOOKUP(J5,Table20[Category],Table20[Product ID])</f>
        <v>P104</v>
      </c>
    </row>
    <row r="6" spans="1:12" x14ac:dyDescent="0.3">
      <c r="A6" s="1" t="s">
        <v>303</v>
      </c>
      <c r="B6" s="1" t="s">
        <v>304</v>
      </c>
      <c r="C6" s="1" t="s">
        <v>305</v>
      </c>
      <c r="D6" s="1">
        <v>120</v>
      </c>
      <c r="F6" s="52" t="s">
        <v>308</v>
      </c>
      <c r="G6" s="52">
        <f>VLOOKUP(F6,Table20[],4,FALSE)</f>
        <v>18000</v>
      </c>
      <c r="I6" s="23" t="s">
        <v>303</v>
      </c>
      <c r="J6" s="52" t="str">
        <f>_xlfn.XLOOKUP(I6,Table20[Product ID],Table20[Category])</f>
        <v>Stationery</v>
      </c>
      <c r="K6" s="52" t="str">
        <f>_xlfn.XLOOKUP(J6,Table20[Category],Table20[Product ID])</f>
        <v>P105</v>
      </c>
    </row>
    <row r="7" spans="1:12" x14ac:dyDescent="0.3">
      <c r="A7" s="1" t="s">
        <v>306</v>
      </c>
      <c r="B7" s="1" t="s">
        <v>307</v>
      </c>
      <c r="C7" s="1" t="s">
        <v>294</v>
      </c>
      <c r="D7" s="1">
        <v>3200</v>
      </c>
      <c r="I7" s="53" t="s">
        <v>306</v>
      </c>
      <c r="J7" s="52" t="str">
        <f>_xlfn.XLOOKUP(I7,Table20[Product ID],Table20[Category])</f>
        <v>Electronics</v>
      </c>
      <c r="K7" s="52" t="str">
        <f>_xlfn.XLOOKUP(J7,Table20[Category],Table20[Product ID])</f>
        <v>P101</v>
      </c>
    </row>
    <row r="8" spans="1:12" x14ac:dyDescent="0.3">
      <c r="A8" s="1" t="s">
        <v>308</v>
      </c>
      <c r="B8" s="1" t="s">
        <v>309</v>
      </c>
      <c r="C8" s="1" t="s">
        <v>299</v>
      </c>
      <c r="D8" s="1">
        <v>18000</v>
      </c>
      <c r="F8" s="55" t="s">
        <v>306</v>
      </c>
      <c r="G8" s="52">
        <f>VLOOKUP(F8,Table20[],4,)</f>
        <v>3200</v>
      </c>
      <c r="I8" s="23" t="s">
        <v>308</v>
      </c>
      <c r="J8" s="52" t="str">
        <f>_xlfn.XLOOKUP(I8,Table20[Product ID],Table20[Category])</f>
        <v>Furniture</v>
      </c>
      <c r="K8" s="52" t="str">
        <f>_xlfn.XLOOKUP(J8,Table20[Category],Table20[Product ID])</f>
        <v>P103</v>
      </c>
    </row>
    <row r="9" spans="1:12" x14ac:dyDescent="0.3">
      <c r="I9" s="52" t="s">
        <v>310</v>
      </c>
      <c r="J9" s="52" t="str">
        <f>_xlfn.XLOOKUP(I9,Table20[Product ID],Table20[Category],"id not exist")</f>
        <v>id not exist</v>
      </c>
      <c r="K9" s="52"/>
    </row>
    <row r="10" spans="1:12" x14ac:dyDescent="0.3">
      <c r="F10" s="56" t="s">
        <v>304</v>
      </c>
      <c r="G10" s="52">
        <f>VLOOKUP(B6,Table20[[#All],[Item Name]:[Price (₹)]],3,FALSE)</f>
        <v>120</v>
      </c>
      <c r="I10" s="52"/>
      <c r="J10" s="52"/>
      <c r="K10" s="52"/>
    </row>
    <row r="11" spans="1:12" x14ac:dyDescent="0.3">
      <c r="F11" s="56" t="s">
        <v>307</v>
      </c>
      <c r="G11" s="52">
        <f>VLOOKUP(B7,Table20[[#All],[Item Name]:[Price (₹)]],3,FALSE)</f>
        <v>3200</v>
      </c>
    </row>
    <row r="12" spans="1:12" x14ac:dyDescent="0.3">
      <c r="F12" s="56" t="s">
        <v>309</v>
      </c>
      <c r="G12" s="52">
        <f>VLOOKUP(B8,Table20[[#All],[Item Name]:[Price (₹)]],3,FALSE)</f>
        <v>18000</v>
      </c>
    </row>
    <row r="13" spans="1:12" x14ac:dyDescent="0.3">
      <c r="G13" s="52"/>
    </row>
    <row r="14" spans="1:12" x14ac:dyDescent="0.3">
      <c r="J14" s="1" t="s">
        <v>140</v>
      </c>
      <c r="K14" s="1" t="s">
        <v>270</v>
      </c>
      <c r="L14" s="1" t="s">
        <v>271</v>
      </c>
    </row>
    <row r="15" spans="1:12" x14ac:dyDescent="0.3">
      <c r="A15" s="57" t="s">
        <v>290</v>
      </c>
      <c r="B15" s="57" t="s">
        <v>292</v>
      </c>
      <c r="C15" s="57" t="s">
        <v>295</v>
      </c>
      <c r="D15" s="57" t="s">
        <v>297</v>
      </c>
      <c r="E15" s="57" t="s">
        <v>300</v>
      </c>
      <c r="F15" s="57" t="s">
        <v>303</v>
      </c>
      <c r="I15" s="23" t="s">
        <v>297</v>
      </c>
      <c r="J15" s="1">
        <f>INDEX(Table20[Price (₹)],MATCH(A4,Table20[Product ID],0))</f>
        <v>8500</v>
      </c>
      <c r="K15" s="1">
        <f>VLOOKUP(I15,Table20[],4,)</f>
        <v>8500</v>
      </c>
      <c r="L15" s="1">
        <f>_xlfn.XLOOKUP(I15,Table20[Product ID],Table20[Price (₹)])</f>
        <v>8500</v>
      </c>
    </row>
    <row r="16" spans="1:12" x14ac:dyDescent="0.3">
      <c r="A16" s="57" t="s">
        <v>291</v>
      </c>
      <c r="B16" s="57" t="s">
        <v>293</v>
      </c>
      <c r="C16" s="57" t="s">
        <v>296</v>
      </c>
      <c r="D16" s="57" t="s">
        <v>298</v>
      </c>
      <c r="E16" s="57" t="s">
        <v>301</v>
      </c>
      <c r="F16" s="57" t="s">
        <v>304</v>
      </c>
      <c r="I16" s="57" t="s">
        <v>300</v>
      </c>
      <c r="J16" s="1">
        <f>INDEX(Table20[Price (₹)],MATCH(A5,Table20[Product ID],))</f>
        <v>450</v>
      </c>
      <c r="K16" s="1">
        <f>VLOOKUP(I16,Table20[],4,FALSE)</f>
        <v>450</v>
      </c>
      <c r="L16" s="1">
        <f>_xlfn.XLOOKUP(I16,Table20[Product ID],Table20[Price (₹)])</f>
        <v>450</v>
      </c>
    </row>
    <row r="17" spans="1:12" x14ac:dyDescent="0.3">
      <c r="A17" s="57" t="s">
        <v>289</v>
      </c>
      <c r="B17" s="57">
        <v>55000</v>
      </c>
      <c r="C17" s="57">
        <v>25000</v>
      </c>
      <c r="D17" s="57">
        <v>8500</v>
      </c>
      <c r="E17" s="57">
        <v>450</v>
      </c>
      <c r="F17" s="57">
        <v>120</v>
      </c>
      <c r="I17" s="23" t="s">
        <v>303</v>
      </c>
      <c r="J17" s="1">
        <f>INDEX(Table20[Price (₹)],MATCH(A6,Table20[Product ID],0))</f>
        <v>120</v>
      </c>
      <c r="K17" s="1">
        <f>VLOOKUP(I17,Table20[],4,FALSE)</f>
        <v>120</v>
      </c>
      <c r="L17" s="1">
        <f>_xlfn.XLOOKUP(I17,Table20[Product ID],Table20[Price (₹)])</f>
        <v>120</v>
      </c>
    </row>
    <row r="18" spans="1:12" x14ac:dyDescent="0.3">
      <c r="I18" s="23" t="s">
        <v>306</v>
      </c>
      <c r="J18" s="1">
        <f>INDEX(Table20[Price (₹)],MATCH(A7,Table20[Product ID],))</f>
        <v>3200</v>
      </c>
      <c r="K18" s="1">
        <f>VLOOKUP(I18,Table20[],4,0)</f>
        <v>3200</v>
      </c>
      <c r="L18" s="1">
        <f>_xlfn.XLOOKUP(I18,Table20[Product ID],Table20[Price (₹)])</f>
        <v>3200</v>
      </c>
    </row>
    <row r="19" spans="1:12" x14ac:dyDescent="0.3">
      <c r="B19" s="11" t="s">
        <v>287</v>
      </c>
      <c r="I19" s="57" t="s">
        <v>308</v>
      </c>
      <c r="J19" s="1">
        <f>INDEX(Table20[Price (₹)],MATCH(A8,Table20[Product ID],0))</f>
        <v>18000</v>
      </c>
      <c r="K19" s="1">
        <f>VLOOKUP(A8,Table20[],4,FALSE)</f>
        <v>18000</v>
      </c>
      <c r="L19" s="1">
        <f>_xlfn.XLOOKUP(A8,Table20[Product ID],Table20[Price (₹)])</f>
        <v>18000</v>
      </c>
    </row>
    <row r="20" spans="1:12" x14ac:dyDescent="0.3">
      <c r="A20" s="1" t="s">
        <v>297</v>
      </c>
      <c r="B20" s="1">
        <f>HLOOKUP(A20,B15:F17,3,FALSE)</f>
        <v>8500</v>
      </c>
      <c r="C20" s="1" t="str">
        <f>HLOOKUP(A20,B15:F17,2,0)</f>
        <v>Office Chair</v>
      </c>
    </row>
    <row r="21" spans="1:12" x14ac:dyDescent="0.3">
      <c r="A21" s="1" t="s">
        <v>303</v>
      </c>
      <c r="B21" s="1">
        <f>HLOOKUP(A21,A15:F17,3,FALSE)</f>
        <v>120</v>
      </c>
    </row>
  </sheetData>
  <sortState xmlns:xlrd2="http://schemas.microsoft.com/office/spreadsheetml/2017/richdata2" ref="I3:I8">
    <sortCondition ref="I3:I8" customList="1,2,3,4,5,6,7,8"/>
  </sortState>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3268-7C76-4250-BE1D-4023C8F977A1}">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09B6-66BC-4594-9A32-F6AD37ECCC4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16B7570-B4B1-47DB-A12C-F2028ECA3297}">
  <ds:schemaRefs/>
</ds:datastoreItem>
</file>

<file path=customXml/itemProps2.xml><?xml version="1.0" encoding="utf-8"?>
<ds:datastoreItem xmlns:ds="http://schemas.openxmlformats.org/officeDocument/2006/customXml" ds:itemID="{C499CCCA-844C-48F2-ACC0-2CCBF36C8E76}">
  <ds:schemaRefs/>
</ds:datastoreItem>
</file>

<file path=customXml/itemProps3.xml><?xml version="1.0" encoding="utf-8"?>
<ds:datastoreItem xmlns:ds="http://schemas.openxmlformats.org/officeDocument/2006/customXml" ds:itemID="{D3642E66-E6F7-4B4F-8C43-4254DA54729E}">
  <ds:schemaRefs/>
</ds:datastoreItem>
</file>

<file path=customXml/itemProps4.xml><?xml version="1.0" encoding="utf-8"?>
<ds:datastoreItem xmlns:ds="http://schemas.openxmlformats.org/officeDocument/2006/customXml" ds:itemID="{164A87DC-5A1C-4CD5-AF03-3A9F6C8A4030}">
  <ds:schemaRefs/>
</ds:datastoreItem>
</file>

<file path=customXml/itemProps5.xml><?xml version="1.0" encoding="utf-8"?>
<ds:datastoreItem xmlns:ds="http://schemas.openxmlformats.org/officeDocument/2006/customXml" ds:itemID="{3501A628-6D99-456A-97B7-E93CD82BA1F2}">
  <ds:schemaRefs/>
</ds:datastoreItem>
</file>

<file path=customXml/itemProps6.xml><?xml version="1.0" encoding="utf-8"?>
<ds:datastoreItem xmlns:ds="http://schemas.openxmlformats.org/officeDocument/2006/customXml" ds:itemID="{9596074D-9A26-4E36-9255-4807722C24FB}">
  <ds:schemaRefs/>
</ds:datastoreItem>
</file>

<file path=customXml/itemProps7.xml><?xml version="1.0" encoding="utf-8"?>
<ds:datastoreItem xmlns:ds="http://schemas.openxmlformats.org/officeDocument/2006/customXml" ds:itemID="{D7944421-2AAC-4A3C-8F80-90296C2A14B9}">
  <ds:schemaRefs/>
</ds:datastoreItem>
</file>

<file path=customXml/itemProps8.xml><?xml version="1.0" encoding="utf-8"?>
<ds:datastoreItem xmlns:ds="http://schemas.openxmlformats.org/officeDocument/2006/customXml" ds:itemID="{D593F958-E285-4C0E-AFC7-FC0118E09F96}">
  <ds:schemaRefs/>
</ds:datastoreItem>
</file>

<file path=customXml/itemProps9.xml><?xml version="1.0" encoding="utf-8"?>
<ds:datastoreItem xmlns:ds="http://schemas.openxmlformats.org/officeDocument/2006/customXml" ds:itemID="{E421E1F4-7744-4DDF-871D-68E03238A7B3}">
  <ds:schemaRefs/>
</ds:datastoreItem>
</file>

<file path=customXml/itemProps10.xml><?xml version="1.0" encoding="utf-8"?>
<ds:datastoreItem xmlns:ds="http://schemas.openxmlformats.org/officeDocument/2006/customXml" ds:itemID="{F0E3ED58-02AA-459F-A259-EEF81236DB19}">
  <ds:schemaRefs/>
</ds:datastoreItem>
</file>

<file path=customXml/itemProps11.xml><?xml version="1.0" encoding="utf-8"?>
<ds:datastoreItem xmlns:ds="http://schemas.openxmlformats.org/officeDocument/2006/customXml" ds:itemID="{23B8C9B9-DF35-4874-B982-1D3BA1F99CE3}">
  <ds:schemaRefs/>
</ds:datastoreItem>
</file>

<file path=customXml/itemProps12.xml><?xml version="1.0" encoding="utf-8"?>
<ds:datastoreItem xmlns:ds="http://schemas.openxmlformats.org/officeDocument/2006/customXml" ds:itemID="{304953B7-CE1D-42C2-BA7F-66C24313FC57}">
  <ds:schemaRefs/>
</ds:datastoreItem>
</file>

<file path=customXml/itemProps13.xml><?xml version="1.0" encoding="utf-8"?>
<ds:datastoreItem xmlns:ds="http://schemas.openxmlformats.org/officeDocument/2006/customXml" ds:itemID="{5A6705F2-4291-4EEF-B5D2-EDEE9F0674D3}">
  <ds:schemaRefs/>
</ds:datastoreItem>
</file>

<file path=customXml/itemProps14.xml><?xml version="1.0" encoding="utf-8"?>
<ds:datastoreItem xmlns:ds="http://schemas.openxmlformats.org/officeDocument/2006/customXml" ds:itemID="{B72BAFC5-DDBD-4B04-A3D3-CB0B811E3E07}">
  <ds:schemaRefs/>
</ds:datastoreItem>
</file>

<file path=customXml/itemProps15.xml><?xml version="1.0" encoding="utf-8"?>
<ds:datastoreItem xmlns:ds="http://schemas.openxmlformats.org/officeDocument/2006/customXml" ds:itemID="{C21377C0-EF66-47F4-AD90-8CAFF9044D8C}">
  <ds:schemaRefs/>
</ds:datastoreItem>
</file>

<file path=customXml/itemProps16.xml><?xml version="1.0" encoding="utf-8"?>
<ds:datastoreItem xmlns:ds="http://schemas.openxmlformats.org/officeDocument/2006/customXml" ds:itemID="{9AC6FD5C-8886-4D61-8938-BF03A0DA11B0}">
  <ds:schemaRefs/>
</ds:datastoreItem>
</file>

<file path=customXml/itemProps17.xml><?xml version="1.0" encoding="utf-8"?>
<ds:datastoreItem xmlns:ds="http://schemas.openxmlformats.org/officeDocument/2006/customXml" ds:itemID="{B363AE45-78C9-43A0-8665-0E86304CE143}">
  <ds:schemaRefs/>
</ds:datastoreItem>
</file>

<file path=customXml/itemProps18.xml><?xml version="1.0" encoding="utf-8"?>
<ds:datastoreItem xmlns:ds="http://schemas.openxmlformats.org/officeDocument/2006/customXml" ds:itemID="{142CB834-09AF-4B98-8C29-46F5070858F6}">
  <ds:schemaRefs/>
</ds:datastoreItem>
</file>

<file path=customXml/itemProps19.xml><?xml version="1.0" encoding="utf-8"?>
<ds:datastoreItem xmlns:ds="http://schemas.openxmlformats.org/officeDocument/2006/customXml" ds:itemID="{2C6C097D-1EF8-4594-AE8F-19899CEFB9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Sheet13</vt:lpstr>
      <vt:lpstr>pivot</vt:lpstr>
      <vt:lpstr>Sheet18</vt:lpstr>
      <vt:lpstr>Sheet12</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 PATIL homeuse</dc:creator>
  <cp:lastModifiedBy>VASANT PATIL homeuse</cp:lastModifiedBy>
  <cp:lastPrinted>2026-07-11T15:14:47Z</cp:lastPrinted>
  <dcterms:created xsi:type="dcterms:W3CDTF">2026-07-11T15:06:28Z</dcterms:created>
  <dcterms:modified xsi:type="dcterms:W3CDTF">2026-09-27T07:01:03Z</dcterms:modified>
</cp:coreProperties>
</file>