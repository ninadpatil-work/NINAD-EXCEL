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ANT PATIL homeuse\Documents\Ninad ecxel practice\"/>
    </mc:Choice>
  </mc:AlternateContent>
  <xr:revisionPtr revIDLastSave="0" documentId="13_ncr:1_{528DF139-E7F7-417D-B77C-B1A71FD9948F}" xr6:coauthVersionLast="47" xr6:coauthVersionMax="47" xr10:uidLastSave="{00000000-0000-0000-0000-000000000000}"/>
  <bookViews>
    <workbookView xWindow="-108" yWindow="-108" windowWidth="23256" windowHeight="12456" activeTab="2" xr2:uid="{6E8105CB-7395-4706-98F0-B86DED144783}"/>
  </bookViews>
  <sheets>
    <sheet name="jan expenses" sheetId="2" r:id="rId1"/>
    <sheet name="feb exp" sheetId="3" r:id="rId2"/>
    <sheet name="payment mode" sheetId="4" r:id="rId3"/>
    <sheet name="category" sheetId="5" r:id="rId4"/>
  </sheets>
  <externalReferences>
    <externalReference r:id="rId5"/>
  </externalReferences>
  <definedNames>
    <definedName name="_xlnm._FilterDatabase" localSheetId="0" hidden="1">'jan expenses'!$A$1:$D$26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M27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3" i="2"/>
  <c r="M4" i="2"/>
  <c r="M5" i="2"/>
  <c r="M6" i="2"/>
  <c r="M7" i="2"/>
  <c r="M8" i="2"/>
  <c r="M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" i="2"/>
</calcChain>
</file>

<file path=xl/sharedStrings.xml><?xml version="1.0" encoding="utf-8"?>
<sst xmlns="http://schemas.openxmlformats.org/spreadsheetml/2006/main" count="174" uniqueCount="20">
  <si>
    <t>cash</t>
  </si>
  <si>
    <t>Zomato</t>
  </si>
  <si>
    <t>Food</t>
  </si>
  <si>
    <t>upi</t>
  </si>
  <si>
    <t>fruite</t>
  </si>
  <si>
    <t>Grocery</t>
  </si>
  <si>
    <t>card</t>
  </si>
  <si>
    <t>payment mode</t>
  </si>
  <si>
    <t>Amount</t>
  </si>
  <si>
    <t>Sub category</t>
  </si>
  <si>
    <t>Category</t>
  </si>
  <si>
    <t>Date</t>
  </si>
  <si>
    <t>UPI</t>
  </si>
  <si>
    <t>Bills</t>
  </si>
  <si>
    <t>Clothes</t>
  </si>
  <si>
    <t>Essential</t>
  </si>
  <si>
    <t>category</t>
  </si>
  <si>
    <t>vlookup call</t>
  </si>
  <si>
    <t>x</t>
  </si>
  <si>
    <t>index+match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</si>
</sst>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SANT%20PATIL%20homeuse\Documents\Ninad%20ecxel%20practice\january%20data%20parctice.xlsx" TargetMode="External"/><Relationship Id="rId1" Type="http://schemas.openxmlformats.org/officeDocument/2006/relationships/externalLinkPath" Target="january%20data%20parct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4"/>
      <sheetName val="Sheet6"/>
      <sheetName val="Sheet5"/>
      <sheetName val="Sheet7"/>
      <sheetName val="Sheet8"/>
      <sheetName val="Sheet9"/>
      <sheetName val="Sheet13"/>
      <sheetName val="pivot"/>
      <sheetName val="Sheet18"/>
      <sheetName val="Sheet10"/>
      <sheetName val="She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3FD94-5E6C-41C9-8C77-05506C492F49}" name="Table17" displayName="Table17" ref="E1:E26" totalsRowShown="0" headerRowDxfId="5" dataDxfId="4">
  <autoFilter ref="E1:E26" xr:uid="{F2C815F1-14B4-4B01-B7B1-BE6B82835C51}"/>
  <tableColumns count="1">
    <tableColumn id="1" xr3:uid="{A6A37A80-41D4-47AE-94E0-1DED02A2A677}" name="payment mod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70A5E8-2276-4146-B19C-41DE25E97006}" name="Table1720" displayName="Table1720" ref="E1:E26" totalsRowShown="0" headerRowDxfId="2" dataDxfId="1">
  <autoFilter ref="E1:E26" xr:uid="{A128001D-4B6B-4623-A679-BFB721EEFB13}"/>
  <tableColumns count="1">
    <tableColumn id="1" xr3:uid="{0138B2F8-315E-4B2C-A24D-27380852FC59}" name="payment mod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82BA62-2FC0-41D0-B4B5-1E73D9A4B9E1}" name="Table21" displayName="Table21" ref="A1:A4" totalsRowShown="0">
  <autoFilter ref="A1:A4" xr:uid="{ECFA4645-5733-4B1B-8D50-89C3B86DFD5A}"/>
  <tableColumns count="1">
    <tableColumn id="1" xr3:uid="{4FC24AAF-F16E-476B-B479-8FD7A74BC994}" name="payment m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D00003-17E0-4AEF-B36B-AD0F1B3D657F}" name="Table23" displayName="Table23" ref="AF1:AF6" totalsRowShown="0">
  <autoFilter ref="AF1:AF6" xr:uid="{0692EA7B-1C24-4194-8C90-5EEDF48F3C81}"/>
  <tableColumns count="1">
    <tableColumn id="1" xr3:uid="{B0163AFC-DF4D-4699-95C5-4B2168E251D4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66DD-ABA0-4D8E-B412-27FBE1A43442}">
  <dimension ref="A1:N27"/>
  <sheetViews>
    <sheetView workbookViewId="0">
      <selection activeCell="R21" sqref="R21"/>
    </sheetView>
  </sheetViews>
  <sheetFormatPr defaultRowHeight="14.4" x14ac:dyDescent="0.3"/>
  <cols>
    <col min="1" max="1" width="10.33203125" bestFit="1" customWidth="1"/>
    <col min="2" max="2" width="9.21875" bestFit="1" customWidth="1"/>
    <col min="3" max="3" width="12.88671875" bestFit="1" customWidth="1"/>
    <col min="5" max="5" width="17" customWidth="1"/>
    <col min="8" max="8" width="12.5546875" bestFit="1" customWidth="1"/>
    <col min="13" max="13" width="11.44140625" bestFit="1" customWidth="1"/>
  </cols>
  <sheetData>
    <row r="1" spans="1:14" ht="15.6" x14ac:dyDescent="0.3">
      <c r="A1" s="10" t="s">
        <v>11</v>
      </c>
      <c r="B1" s="9" t="s">
        <v>10</v>
      </c>
      <c r="C1" s="9" t="s">
        <v>9</v>
      </c>
      <c r="D1" s="9" t="s">
        <v>8</v>
      </c>
      <c r="E1" s="8" t="s">
        <v>7</v>
      </c>
      <c r="H1" s="11" t="s">
        <v>17</v>
      </c>
      <c r="I1" s="11"/>
      <c r="J1" t="s">
        <v>18</v>
      </c>
      <c r="K1" t="s">
        <v>18</v>
      </c>
      <c r="M1" t="s">
        <v>19</v>
      </c>
    </row>
    <row r="2" spans="1:14" x14ac:dyDescent="0.3">
      <c r="A2" s="3">
        <v>44970</v>
      </c>
      <c r="B2" s="2" t="s">
        <v>5</v>
      </c>
      <c r="C2" s="2" t="s">
        <v>4</v>
      </c>
      <c r="D2" s="2">
        <v>800</v>
      </c>
      <c r="E2" s="1" t="s">
        <v>0</v>
      </c>
      <c r="H2" s="11" t="str">
        <f>VLOOKUP([1]!Table211[[#This Row],[Sub category]],[1]!Table211[[Sub category]:[Amount]],1,FALSE)</f>
        <v>fruite</v>
      </c>
      <c r="I2" s="11">
        <f>VLOOKUP(H2,[1]!Table211[[Sub category]:[Amount]],2,0)</f>
        <v>800</v>
      </c>
      <c r="J2" t="str">
        <f>_xlfn.XLOOKUP(H2,[1]!Table211[Sub category],[1]!Table211[Sub category])</f>
        <v>fruite</v>
      </c>
      <c r="K2">
        <f>_xlfn.XLOOKUP(H2,[1]!Table211[Sub category],[1]!Table211[Amount])</f>
        <v>800</v>
      </c>
      <c r="M2" t="str">
        <f>INDEX([1]!Table211[Sub category],MATCH(C2,$C$1:$C$26,0))</f>
        <v>fruite</v>
      </c>
      <c r="N2">
        <f>INDEX([1]!Table211[Amount],MATCH([1]!Table211[[#This Row],[Amount]],[1]!Table211[Amount],0))</f>
        <v>800</v>
      </c>
    </row>
    <row r="3" spans="1:14" x14ac:dyDescent="0.3">
      <c r="A3" s="5">
        <v>44971</v>
      </c>
      <c r="B3" s="4" t="s">
        <v>5</v>
      </c>
      <c r="C3" s="4" t="s">
        <v>4</v>
      </c>
      <c r="D3" s="4">
        <v>1000</v>
      </c>
      <c r="E3" s="1" t="s">
        <v>6</v>
      </c>
      <c r="H3" s="11" t="str">
        <f>VLOOKUP([1]!Table211[[#This Row],[Sub category]],[1]!Table211[[Sub category]:[Amount]],1,FALSE)</f>
        <v>fruite</v>
      </c>
      <c r="I3" s="11">
        <f>VLOOKUP(H3,[1]!Table211[[Sub category]:[Amount]],2,0)</f>
        <v>800</v>
      </c>
      <c r="J3" t="str">
        <f>_xlfn.XLOOKUP(H3,[1]!Table211[Sub category],[1]!Table211[Sub category])</f>
        <v>fruite</v>
      </c>
      <c r="K3">
        <f>_xlfn.XLOOKUP(H3,[1]!Table211[Sub category],[1]!Table211[Amount])</f>
        <v>800</v>
      </c>
      <c r="M3" t="str">
        <f>INDEX([1]!Table211[Sub category],MATCH(C3,$C$1:$C$26,0))</f>
        <v>fruite</v>
      </c>
      <c r="N3">
        <f>INDEX([1]!Table211[Amount],MATCH([1]!Table211[[#This Row],[Amount]],[1]!Table211[Amount],0))</f>
        <v>1000</v>
      </c>
    </row>
    <row r="4" spans="1:14" x14ac:dyDescent="0.3">
      <c r="A4" s="3">
        <v>44972</v>
      </c>
      <c r="B4" s="2" t="s">
        <v>5</v>
      </c>
      <c r="C4" s="2" t="s">
        <v>4</v>
      </c>
      <c r="D4" s="2">
        <v>1200</v>
      </c>
      <c r="E4" s="1" t="s">
        <v>3</v>
      </c>
      <c r="H4" s="11" t="str">
        <f>VLOOKUP([1]!Table211[[#This Row],[Sub category]],[1]!Table211[[Sub category]:[Amount]],1,FALSE)</f>
        <v>fruite</v>
      </c>
      <c r="I4" s="11">
        <f>VLOOKUP(H4,[1]!Table211[[Sub category]:[Amount]],2,0)</f>
        <v>800</v>
      </c>
      <c r="J4" t="str">
        <f>_xlfn.XLOOKUP(H4,[1]!Table211[Sub category],[1]!Table211[Sub category])</f>
        <v>fruite</v>
      </c>
      <c r="K4">
        <f>_xlfn.XLOOKUP(H4,[1]!Table211[Sub category],[1]!Table211[Amount])</f>
        <v>800</v>
      </c>
      <c r="M4" t="str">
        <f>INDEX([1]!Table211[Sub category],MATCH(C4,$C$1:$C$26,0))</f>
        <v>fruite</v>
      </c>
      <c r="N4">
        <f>INDEX([1]!Table211[Amount],MATCH([1]!Table211[[#This Row],[Amount]],[1]!Table211[Amount],0))</f>
        <v>1200</v>
      </c>
    </row>
    <row r="5" spans="1:14" x14ac:dyDescent="0.3">
      <c r="A5" s="5">
        <v>44973</v>
      </c>
      <c r="B5" s="4" t="s">
        <v>5</v>
      </c>
      <c r="C5" s="4" t="s">
        <v>1</v>
      </c>
      <c r="D5" s="4">
        <v>1400</v>
      </c>
      <c r="E5" s="1" t="s">
        <v>0</v>
      </c>
      <c r="H5" s="11" t="str">
        <f>VLOOKUP([1]!Table211[[#This Row],[Sub category]],[1]!Table211[[Sub category]:[Amount]],1,FALSE)</f>
        <v>Zomato</v>
      </c>
      <c r="I5" s="11">
        <f>VLOOKUP(H5,[1]!Table211[[Sub category]:[Amount]],2,0)</f>
        <v>1400</v>
      </c>
      <c r="J5" t="str">
        <f>_xlfn.XLOOKUP(H5,[1]!Table211[Sub category],[1]!Table211[Sub category])</f>
        <v>Zomato</v>
      </c>
      <c r="K5">
        <f>_xlfn.XLOOKUP(H5,[1]!Table211[Sub category],[1]!Table211[Amount])</f>
        <v>1400</v>
      </c>
      <c r="M5" t="str">
        <f>INDEX([1]!Table211[Sub category],MATCH(C5,$C$1:$C$26,0))</f>
        <v>Zomato</v>
      </c>
      <c r="N5">
        <f>INDEX([1]!Table211[Amount],MATCH([1]!Table211[[#This Row],[Amount]],[1]!Table211[Amount],0))</f>
        <v>1400</v>
      </c>
    </row>
    <row r="6" spans="1:14" x14ac:dyDescent="0.3">
      <c r="A6" s="3">
        <v>44974</v>
      </c>
      <c r="B6" s="2" t="s">
        <v>5</v>
      </c>
      <c r="C6" s="2" t="s">
        <v>1</v>
      </c>
      <c r="D6" s="2">
        <v>1600</v>
      </c>
      <c r="E6" s="1" t="s">
        <v>6</v>
      </c>
      <c r="H6" s="11" t="str">
        <f>VLOOKUP([1]!Table211[[#This Row],[Sub category]],[1]!Table211[[Sub category]:[Amount]],1,FALSE)</f>
        <v>Zomato</v>
      </c>
      <c r="I6" s="11">
        <f>VLOOKUP(H6,[1]!Table211[[Sub category]:[Amount]],2,0)</f>
        <v>1400</v>
      </c>
      <c r="J6" t="str">
        <f>_xlfn.XLOOKUP(H6,[1]!Table211[Sub category],[1]!Table211[Sub category])</f>
        <v>Zomato</v>
      </c>
      <c r="K6">
        <f>_xlfn.XLOOKUP(H6,[1]!Table211[Sub category],[1]!Table211[Amount])</f>
        <v>1400</v>
      </c>
      <c r="M6" t="str">
        <f>INDEX([1]!Table211[Sub category],MATCH(C6,$C$1:$C$26,0))</f>
        <v>Zomato</v>
      </c>
      <c r="N6">
        <f>INDEX([1]!Table211[Amount],MATCH([1]!Table211[[#This Row],[Amount]],[1]!Table211[Amount],0))</f>
        <v>1600</v>
      </c>
    </row>
    <row r="7" spans="1:14" x14ac:dyDescent="0.3">
      <c r="A7" s="5">
        <v>44975</v>
      </c>
      <c r="B7" s="4" t="s">
        <v>5</v>
      </c>
      <c r="C7" s="4" t="s">
        <v>4</v>
      </c>
      <c r="D7" s="7">
        <v>400</v>
      </c>
      <c r="E7" s="1" t="s">
        <v>3</v>
      </c>
      <c r="H7" s="11" t="str">
        <f>VLOOKUP([1]!Table211[[#This Row],[Sub category]],[1]!Table211[[Sub category]:[Amount]],1,FALSE)</f>
        <v>fruite</v>
      </c>
      <c r="I7" s="11">
        <f>VLOOKUP(H7,[1]!Table211[[Sub category]:[Amount]],2,0)</f>
        <v>800</v>
      </c>
      <c r="J7" t="str">
        <f>_xlfn.XLOOKUP(H7,[1]!Table211[Sub category],[1]!Table211[Sub category])</f>
        <v>fruite</v>
      </c>
      <c r="K7">
        <f>_xlfn.XLOOKUP(H7,[1]!Table211[Sub category],[1]!Table211[Amount])</f>
        <v>800</v>
      </c>
      <c r="M7" t="str">
        <f>INDEX([1]!Table211[Sub category],MATCH(C7,$C$1:$C$26,0))</f>
        <v>fruite</v>
      </c>
      <c r="N7">
        <f>INDEX([1]!Table211[Amount],MATCH([1]!Table211[[#This Row],[Amount]],[1]!Table211[Amount],0))</f>
        <v>400</v>
      </c>
    </row>
    <row r="8" spans="1:14" x14ac:dyDescent="0.3">
      <c r="A8" s="3">
        <v>44976</v>
      </c>
      <c r="B8" s="2" t="s">
        <v>5</v>
      </c>
      <c r="C8" s="2" t="s">
        <v>4</v>
      </c>
      <c r="D8" s="2">
        <v>600</v>
      </c>
      <c r="E8" s="1" t="s">
        <v>0</v>
      </c>
      <c r="H8" s="11" t="str">
        <f>VLOOKUP([1]!Table211[[#This Row],[Sub category]],[1]!Table211[[Sub category]:[Amount]],1,FALSE)</f>
        <v>fruite</v>
      </c>
      <c r="I8" s="11">
        <f>VLOOKUP(H8,[1]!Table211[[Sub category]:[Amount]],2,0)</f>
        <v>800</v>
      </c>
      <c r="J8" t="str">
        <f>_xlfn.XLOOKUP(H8,[1]!Table211[Sub category],[1]!Table211[Sub category])</f>
        <v>fruite</v>
      </c>
      <c r="K8">
        <f>_xlfn.XLOOKUP(H8,[1]!Table211[Sub category],[1]!Table211[Amount])</f>
        <v>800</v>
      </c>
      <c r="M8" t="str">
        <f>INDEX([1]!Table211[Sub category],MATCH(C8,$C$1:$C$26,0))</f>
        <v>fruite</v>
      </c>
      <c r="N8">
        <f>INDEX([1]!Table211[Amount],MATCH([1]!Table211[[#This Row],[Amount]],[1]!Table211[Amount],0))</f>
        <v>600</v>
      </c>
    </row>
    <row r="9" spans="1:14" x14ac:dyDescent="0.3">
      <c r="A9" s="5">
        <v>44977</v>
      </c>
      <c r="B9" s="4" t="s">
        <v>5</v>
      </c>
      <c r="C9" s="4" t="s">
        <v>4</v>
      </c>
      <c r="D9" s="4">
        <v>20</v>
      </c>
      <c r="E9" s="1" t="s">
        <v>6</v>
      </c>
      <c r="H9" s="11" t="str">
        <f>VLOOKUP([1]!Table211[[#This Row],[Sub category]],[1]!Table211[[Sub category]:[Amount]],1,FALSE)</f>
        <v>fruite</v>
      </c>
      <c r="I9" s="11">
        <f>VLOOKUP(H9,[1]!Table211[[Sub category]:[Amount]],2,0)</f>
        <v>800</v>
      </c>
      <c r="J9" t="str">
        <f>_xlfn.XLOOKUP(H9,[1]!Table211[Sub category],[1]!Table211[Sub category])</f>
        <v>fruite</v>
      </c>
      <c r="K9">
        <f>_xlfn.XLOOKUP(H9,[1]!Table211[Sub category],[1]!Table211[Amount])</f>
        <v>800</v>
      </c>
      <c r="M9" t="str">
        <f>INDEX([1]!Table211[Sub category],MATCH(C9,$C$1:$C$26,0))</f>
        <v>fruite</v>
      </c>
      <c r="N9">
        <f>INDEX([1]!Table211[Amount],MATCH([1]!Table211[[#This Row],[Amount]],[1]!Table211[Amount],0))</f>
        <v>20</v>
      </c>
    </row>
    <row r="10" spans="1:14" x14ac:dyDescent="0.3">
      <c r="A10" s="3">
        <v>44978</v>
      </c>
      <c r="B10" s="2" t="s">
        <v>2</v>
      </c>
      <c r="C10" s="2" t="s">
        <v>1</v>
      </c>
      <c r="D10" s="2">
        <v>50</v>
      </c>
      <c r="E10" s="1" t="s">
        <v>3</v>
      </c>
      <c r="H10" s="11" t="str">
        <f>VLOOKUP([1]!Table211[[#This Row],[Sub category]],[1]!Table211[[Sub category]:[Amount]],1,FALSE)</f>
        <v>Zomato</v>
      </c>
      <c r="I10" s="11">
        <f>VLOOKUP(H10,[1]!Table211[[Sub category]:[Amount]],2,0)</f>
        <v>1400</v>
      </c>
      <c r="J10" t="str">
        <f>_xlfn.XLOOKUP(H10,[1]!Table211[Sub category],[1]!Table211[Sub category])</f>
        <v>Zomato</v>
      </c>
      <c r="K10">
        <f>_xlfn.XLOOKUP(H10,[1]!Table211[Sub category],[1]!Table211[Amount])</f>
        <v>1400</v>
      </c>
      <c r="M10" t="str">
        <f>INDEX([1]!Table211[Sub category],MATCH(C10,$C$1:$C$26,0))</f>
        <v>Zomato</v>
      </c>
      <c r="N10">
        <f>INDEX([1]!Table211[Amount],MATCH([1]!Table211[[#This Row],[Amount]],[1]!Table211[Amount],0))</f>
        <v>50</v>
      </c>
    </row>
    <row r="11" spans="1:14" x14ac:dyDescent="0.3">
      <c r="A11" s="5">
        <v>44979</v>
      </c>
      <c r="B11" s="4" t="s">
        <v>2</v>
      </c>
      <c r="C11" s="4" t="s">
        <v>1</v>
      </c>
      <c r="D11" s="4">
        <v>900</v>
      </c>
      <c r="E11" s="1" t="s">
        <v>0</v>
      </c>
      <c r="H11" s="11" t="str">
        <f>VLOOKUP([1]!Table211[[#This Row],[Sub category]],[1]!Table211[[Sub category]:[Amount]],1,FALSE)</f>
        <v>Zomato</v>
      </c>
      <c r="I11" s="11">
        <f>VLOOKUP(H11,[1]!Table211[[Sub category]:[Amount]],2,0)</f>
        <v>1400</v>
      </c>
      <c r="J11" t="str">
        <f>_xlfn.XLOOKUP(H11,[1]!Table211[Sub category],[1]!Table211[Sub category])</f>
        <v>Zomato</v>
      </c>
      <c r="K11">
        <f>_xlfn.XLOOKUP(H11,[1]!Table211[Sub category],[1]!Table211[Amount])</f>
        <v>1400</v>
      </c>
      <c r="M11" t="str">
        <f>INDEX([1]!Table211[Sub category],MATCH(C11,$C$1:$C$26,0))</f>
        <v>Zomato</v>
      </c>
      <c r="N11">
        <f>INDEX([1]!Table211[Amount],MATCH([1]!Table211[[#This Row],[Amount]],[1]!Table211[Amount],0))</f>
        <v>900</v>
      </c>
    </row>
    <row r="12" spans="1:14" x14ac:dyDescent="0.3">
      <c r="A12" s="3">
        <v>44980</v>
      </c>
      <c r="B12" s="2" t="s">
        <v>2</v>
      </c>
      <c r="C12" s="2" t="s">
        <v>1</v>
      </c>
      <c r="D12" s="2"/>
      <c r="E12" s="1" t="s">
        <v>6</v>
      </c>
      <c r="H12" s="11" t="str">
        <f>VLOOKUP([1]!Table211[[#This Row],[Sub category]],[1]!Table211[[Sub category]:[Amount]],1,FALSE)</f>
        <v>Zomato</v>
      </c>
      <c r="I12" s="11">
        <f>VLOOKUP(H12,[1]!Table211[[Sub category]:[Amount]],2,0)</f>
        <v>1400</v>
      </c>
      <c r="J12" t="str">
        <f>_xlfn.XLOOKUP(H12,[1]!Table211[Sub category],[1]!Table211[Sub category])</f>
        <v>Zomato</v>
      </c>
      <c r="K12">
        <f>_xlfn.XLOOKUP(H12,[1]!Table211[Sub category],[1]!Table211[Amount])</f>
        <v>1400</v>
      </c>
      <c r="M12" t="str">
        <f>INDEX([1]!Table211[Sub category],MATCH(C12,$C$1:$C$26,0))</f>
        <v>Zomato</v>
      </c>
      <c r="N12" t="e">
        <f>INDEX([1]!Table211[Amount],MATCH([1]!Table211[[#This Row],[Amount]],[1]!Table211[Amount],0))</f>
        <v>#N/A</v>
      </c>
    </row>
    <row r="13" spans="1:14" x14ac:dyDescent="0.3">
      <c r="A13" s="5">
        <v>44981</v>
      </c>
      <c r="B13" s="4" t="s">
        <v>5</v>
      </c>
      <c r="C13" s="4" t="s">
        <v>4</v>
      </c>
      <c r="D13" s="4"/>
      <c r="E13" s="1" t="s">
        <v>3</v>
      </c>
      <c r="H13" s="11" t="str">
        <f>VLOOKUP([1]!Table211[[#This Row],[Sub category]],[1]!Table211[[Sub category]:[Amount]],1,FALSE)</f>
        <v>fruite</v>
      </c>
      <c r="I13" s="11">
        <f>VLOOKUP(H13,[1]!Table211[[Sub category]:[Amount]],2,0)</f>
        <v>800</v>
      </c>
      <c r="J13" t="str">
        <f>_xlfn.XLOOKUP(H13,[1]!Table211[Sub category],[1]!Table211[Sub category])</f>
        <v>fruite</v>
      </c>
      <c r="K13">
        <f>_xlfn.XLOOKUP(H13,[1]!Table211[Sub category],[1]!Table211[Amount])</f>
        <v>800</v>
      </c>
      <c r="M13" t="str">
        <f>INDEX([1]!Table211[Sub category],MATCH(C13,$C$1:$C$26,0))</f>
        <v>fruite</v>
      </c>
      <c r="N13" t="e">
        <f>INDEX([1]!Table211[Amount],MATCH([1]!Table211[[#This Row],[Amount]],[1]!Table211[Amount],0))</f>
        <v>#N/A</v>
      </c>
    </row>
    <row r="14" spans="1:14" x14ac:dyDescent="0.3">
      <c r="A14" s="3">
        <v>44982</v>
      </c>
      <c r="B14" s="2" t="s">
        <v>2</v>
      </c>
      <c r="C14" s="2" t="s">
        <v>1</v>
      </c>
      <c r="D14" s="2">
        <v>1100</v>
      </c>
      <c r="E14" s="1" t="s">
        <v>0</v>
      </c>
      <c r="H14" s="11" t="str">
        <f>VLOOKUP([1]!Table211[[#This Row],[Sub category]],[1]!Table211[[Sub category]:[Amount]],1,FALSE)</f>
        <v>Zomato</v>
      </c>
      <c r="I14" s="11">
        <f>VLOOKUP(H14,[1]!Table211[[Sub category]:[Amount]],2,0)</f>
        <v>1400</v>
      </c>
      <c r="J14" t="str">
        <f>_xlfn.XLOOKUP(H14,[1]!Table211[Sub category],[1]!Table211[Sub category])</f>
        <v>Zomato</v>
      </c>
      <c r="K14">
        <f>_xlfn.XLOOKUP(H14,[1]!Table211[Sub category],[1]!Table211[Amount])</f>
        <v>1400</v>
      </c>
      <c r="M14" t="str">
        <f>INDEX([1]!Table211[Sub category],MATCH(C14,$C$1:$C$26,0))</f>
        <v>Zomato</v>
      </c>
      <c r="N14">
        <f>INDEX([1]!Table211[Amount],MATCH([1]!Table211[[#This Row],[Amount]],[1]!Table211[Amount],0))</f>
        <v>1100</v>
      </c>
    </row>
    <row r="15" spans="1:14" x14ac:dyDescent="0.3">
      <c r="A15" s="5">
        <v>44983</v>
      </c>
      <c r="B15" s="4" t="s">
        <v>2</v>
      </c>
      <c r="C15" s="4" t="s">
        <v>1</v>
      </c>
      <c r="D15" s="4"/>
      <c r="E15" s="1" t="s">
        <v>6</v>
      </c>
      <c r="H15" s="11" t="str">
        <f>VLOOKUP([1]!Table211[[#This Row],[Sub category]],[1]!Table211[[Sub category]:[Amount]],1,FALSE)</f>
        <v>Zomato</v>
      </c>
      <c r="I15" s="11">
        <f>VLOOKUP(H15,[1]!Table211[[Sub category]:[Amount]],2,0)</f>
        <v>1400</v>
      </c>
      <c r="J15" t="str">
        <f>_xlfn.XLOOKUP(H15,[1]!Table211[Sub category],[1]!Table211[Sub category])</f>
        <v>Zomato</v>
      </c>
      <c r="K15">
        <f>_xlfn.XLOOKUP(H15,[1]!Table211[Sub category],[1]!Table211[Amount])</f>
        <v>1400</v>
      </c>
      <c r="M15" t="str">
        <f>INDEX([1]!Table211[Sub category],MATCH(C15,$C$1:$C$26,0))</f>
        <v>Zomato</v>
      </c>
      <c r="N15" t="e">
        <f>INDEX([1]!Table211[Amount],MATCH([1]!Table211[[#This Row],[Amount]],[1]!Table211[Amount],0))</f>
        <v>#N/A</v>
      </c>
    </row>
    <row r="16" spans="1:14" x14ac:dyDescent="0.3">
      <c r="A16" s="3">
        <v>44984</v>
      </c>
      <c r="B16" s="2" t="s">
        <v>2</v>
      </c>
      <c r="C16" s="2" t="s">
        <v>1</v>
      </c>
      <c r="D16" s="6">
        <v>300</v>
      </c>
      <c r="E16" s="1" t="s">
        <v>3</v>
      </c>
      <c r="H16" s="11" t="str">
        <f>VLOOKUP([1]!Table211[[#This Row],[Sub category]],[1]!Table211[[Sub category]:[Amount]],1,FALSE)</f>
        <v>Zomato</v>
      </c>
      <c r="I16" s="11">
        <f>VLOOKUP(H16,[1]!Table211[[Sub category]:[Amount]],2,0)</f>
        <v>1400</v>
      </c>
      <c r="J16" t="str">
        <f>_xlfn.XLOOKUP(H16,[1]!Table211[Sub category],[1]!Table211[Sub category])</f>
        <v>Zomato</v>
      </c>
      <c r="K16">
        <f>_xlfn.XLOOKUP(H16,[1]!Table211[Sub category],[1]!Table211[Amount])</f>
        <v>1400</v>
      </c>
      <c r="M16" t="str">
        <f>INDEX([1]!Table211[Sub category],MATCH(C16,$C$1:$C$26,0))</f>
        <v>Zomato</v>
      </c>
      <c r="N16">
        <f>INDEX([1]!Table211[Amount],MATCH([1]!Table211[[#This Row],[Amount]],[1]!Table211[Amount],0))</f>
        <v>300</v>
      </c>
    </row>
    <row r="17" spans="1:14" x14ac:dyDescent="0.3">
      <c r="A17" s="5">
        <v>44985</v>
      </c>
      <c r="B17" s="4" t="s">
        <v>2</v>
      </c>
      <c r="C17" s="4" t="s">
        <v>4</v>
      </c>
      <c r="D17" s="4">
        <v>1300</v>
      </c>
      <c r="E17" s="1" t="s">
        <v>0</v>
      </c>
      <c r="H17" s="11" t="str">
        <f>VLOOKUP([1]!Table211[[#This Row],[Sub category]],[1]!Table211[[Sub category]:[Amount]],1,FALSE)</f>
        <v>fruite</v>
      </c>
      <c r="I17" s="11">
        <f>VLOOKUP(H17,[1]!Table211[[Sub category]:[Amount]],2,0)</f>
        <v>800</v>
      </c>
      <c r="J17" t="str">
        <f>_xlfn.XLOOKUP(H17,[1]!Table211[Sub category],[1]!Table211[Sub category])</f>
        <v>fruite</v>
      </c>
      <c r="K17">
        <f>_xlfn.XLOOKUP(H17,[1]!Table211[Sub category],[1]!Table211[Amount])</f>
        <v>800</v>
      </c>
      <c r="M17" t="str">
        <f>INDEX([1]!Table211[Sub category],MATCH(C17,$C$1:$C$26,0))</f>
        <v>fruite</v>
      </c>
      <c r="N17">
        <f>INDEX([1]!Table211[Amount],MATCH([1]!Table211[[#This Row],[Amount]],[1]!Table211[Amount],0))</f>
        <v>1300</v>
      </c>
    </row>
    <row r="18" spans="1:14" x14ac:dyDescent="0.3">
      <c r="A18" s="3">
        <v>44986</v>
      </c>
      <c r="B18" s="2" t="s">
        <v>2</v>
      </c>
      <c r="C18" s="2" t="s">
        <v>4</v>
      </c>
      <c r="D18" s="2"/>
      <c r="E18" s="1" t="s">
        <v>6</v>
      </c>
      <c r="H18" s="11" t="str">
        <f>VLOOKUP([1]!Table211[[#This Row],[Sub category]],[1]!Table211[[Sub category]:[Amount]],1,FALSE)</f>
        <v>fruite</v>
      </c>
      <c r="I18" s="11">
        <f>VLOOKUP(H18,[1]!Table211[[Sub category]:[Amount]],2,0)</f>
        <v>800</v>
      </c>
      <c r="J18" t="str">
        <f>_xlfn.XLOOKUP(H18,[1]!Table211[Sub category],[1]!Table211[Sub category])</f>
        <v>fruite</v>
      </c>
      <c r="K18">
        <f>_xlfn.XLOOKUP(H18,[1]!Table211[Sub category],[1]!Table211[Amount])</f>
        <v>800</v>
      </c>
      <c r="M18" t="str">
        <f>INDEX([1]!Table211[Sub category],MATCH(C18,$C$1:$C$26,0))</f>
        <v>fruite</v>
      </c>
      <c r="N18" t="e">
        <f>INDEX([1]!Table211[Amount],MATCH([1]!Table211[[#This Row],[Amount]],[1]!Table211[Amount],0))</f>
        <v>#N/A</v>
      </c>
    </row>
    <row r="19" spans="1:14" x14ac:dyDescent="0.3">
      <c r="A19" s="5">
        <v>44987</v>
      </c>
      <c r="B19" s="4" t="s">
        <v>2</v>
      </c>
      <c r="C19" s="4" t="s">
        <v>1</v>
      </c>
      <c r="D19" s="4">
        <v>1500</v>
      </c>
      <c r="E19" s="1" t="s">
        <v>3</v>
      </c>
      <c r="H19" s="11" t="str">
        <f>VLOOKUP([1]!Table211[[#This Row],[Sub category]],[1]!Table211[[Sub category]:[Amount]],1,FALSE)</f>
        <v>Zomato</v>
      </c>
      <c r="I19" s="11">
        <f>VLOOKUP(H19,[1]!Table211[[Sub category]:[Amount]],2,0)</f>
        <v>1400</v>
      </c>
      <c r="J19" t="str">
        <f>_xlfn.XLOOKUP(H19,[1]!Table211[Sub category],[1]!Table211[Sub category])</f>
        <v>Zomato</v>
      </c>
      <c r="K19">
        <f>_xlfn.XLOOKUP(H19,[1]!Table211[Sub category],[1]!Table211[Amount])</f>
        <v>1400</v>
      </c>
      <c r="M19" t="str">
        <f>INDEX([1]!Table211[Sub category],MATCH(C19,$C$1:$C$26,0))</f>
        <v>Zomato</v>
      </c>
      <c r="N19">
        <f>INDEX([1]!Table211[Amount],MATCH([1]!Table211[[#This Row],[Amount]],[1]!Table211[Amount],0))</f>
        <v>1500</v>
      </c>
    </row>
    <row r="20" spans="1:14" x14ac:dyDescent="0.3">
      <c r="A20" s="3">
        <v>44988</v>
      </c>
      <c r="B20" s="2" t="s">
        <v>2</v>
      </c>
      <c r="C20" s="2" t="s">
        <v>4</v>
      </c>
      <c r="D20" s="2">
        <v>1700</v>
      </c>
      <c r="E20" s="1" t="s">
        <v>0</v>
      </c>
      <c r="H20" s="11" t="str">
        <f>VLOOKUP([1]!Table211[[#This Row],[Sub category]],[1]!Table211[[Sub category]:[Amount]],1,FALSE)</f>
        <v>fruite</v>
      </c>
      <c r="I20" s="11">
        <f>VLOOKUP(H20,[1]!Table211[[Sub category]:[Amount]],2,0)</f>
        <v>800</v>
      </c>
      <c r="J20" t="str">
        <f>_xlfn.XLOOKUP(H20,[1]!Table211[Sub category],[1]!Table211[Sub category])</f>
        <v>fruite</v>
      </c>
      <c r="K20">
        <f>_xlfn.XLOOKUP(H20,[1]!Table211[Sub category],[1]!Table211[Amount])</f>
        <v>800</v>
      </c>
      <c r="M20" t="str">
        <f>INDEX([1]!Table211[Sub category],MATCH(C20,$C$1:$C$26,0))</f>
        <v>fruite</v>
      </c>
      <c r="N20">
        <f>INDEX([1]!Table211[Amount],MATCH([1]!Table211[[#This Row],[Amount]],[1]!Table211[Amount],0))</f>
        <v>1700</v>
      </c>
    </row>
    <row r="21" spans="1:14" x14ac:dyDescent="0.3">
      <c r="A21" s="5">
        <v>44989</v>
      </c>
      <c r="B21" s="4" t="s">
        <v>2</v>
      </c>
      <c r="C21" s="4" t="s">
        <v>1</v>
      </c>
      <c r="D21" s="4"/>
      <c r="E21" s="1" t="s">
        <v>6</v>
      </c>
      <c r="H21" s="11" t="str">
        <f>VLOOKUP([1]!Table211[[#This Row],[Sub category]],[1]!Table211[[Sub category]:[Amount]],1,FALSE)</f>
        <v>Zomato</v>
      </c>
      <c r="I21" s="11">
        <f>VLOOKUP(H21,[1]!Table211[[Sub category]:[Amount]],2,0)</f>
        <v>1400</v>
      </c>
      <c r="J21" t="str">
        <f>_xlfn.XLOOKUP(H21,[1]!Table211[Sub category],[1]!Table211[Sub category])</f>
        <v>Zomato</v>
      </c>
      <c r="K21">
        <f>_xlfn.XLOOKUP(H21,[1]!Table211[Sub category],[1]!Table211[Amount])</f>
        <v>1400</v>
      </c>
      <c r="M21" t="str">
        <f>INDEX([1]!Table211[Sub category],MATCH(C21,$C$1:$C$26,0))</f>
        <v>Zomato</v>
      </c>
      <c r="N21" t="e">
        <f>INDEX([1]!Table211[Amount],MATCH([1]!Table211[[#This Row],[Amount]],[1]!Table211[Amount],0))</f>
        <v>#N/A</v>
      </c>
    </row>
    <row r="22" spans="1:14" x14ac:dyDescent="0.3">
      <c r="A22" s="3">
        <v>44990</v>
      </c>
      <c r="B22" s="2" t="s">
        <v>5</v>
      </c>
      <c r="C22" s="2" t="s">
        <v>4</v>
      </c>
      <c r="D22" s="2"/>
      <c r="E22" s="1" t="s">
        <v>3</v>
      </c>
      <c r="H22" s="11" t="str">
        <f>VLOOKUP([1]!Table211[[#This Row],[Sub category]],[1]!Table211[[Sub category]:[Amount]],1,FALSE)</f>
        <v>fruite</v>
      </c>
      <c r="I22" s="11">
        <f>VLOOKUP(H22,[1]!Table211[[Sub category]:[Amount]],2,0)</f>
        <v>800</v>
      </c>
      <c r="J22" t="str">
        <f>_xlfn.XLOOKUP(H22,[1]!Table211[Sub category],[1]!Table211[Sub category])</f>
        <v>fruite</v>
      </c>
      <c r="K22">
        <f>_xlfn.XLOOKUP(H22,[1]!Table211[Sub category],[1]!Table211[Amount])</f>
        <v>800</v>
      </c>
      <c r="M22" t="str">
        <f>INDEX([1]!Table211[Sub category],MATCH(C22,$C$1:$C$26,0))</f>
        <v>fruite</v>
      </c>
      <c r="N22" t="e">
        <f>INDEX([1]!Table211[Amount],MATCH([1]!Table211[[#This Row],[Amount]],[1]!Table211[Amount],0))</f>
        <v>#N/A</v>
      </c>
    </row>
    <row r="23" spans="1:14" x14ac:dyDescent="0.3">
      <c r="A23" s="5">
        <v>44991</v>
      </c>
      <c r="B23" s="4" t="s">
        <v>2</v>
      </c>
      <c r="C23" s="4" t="s">
        <v>1</v>
      </c>
      <c r="D23" s="4">
        <v>500</v>
      </c>
      <c r="E23" s="1" t="s">
        <v>0</v>
      </c>
      <c r="H23" s="11" t="str">
        <f>VLOOKUP([1]!Table211[[#This Row],[Sub category]],[1]!Table211[[Sub category]:[Amount]],1,FALSE)</f>
        <v>Zomato</v>
      </c>
      <c r="I23" s="11">
        <f>VLOOKUP(H23,[1]!Table211[[Sub category]:[Amount]],2,0)</f>
        <v>1400</v>
      </c>
      <c r="J23" t="str">
        <f>_xlfn.XLOOKUP(H23,[1]!Table211[Sub category],[1]!Table211[Sub category])</f>
        <v>Zomato</v>
      </c>
      <c r="K23">
        <f>_xlfn.XLOOKUP(H23,[1]!Table211[Sub category],[1]!Table211[Amount])</f>
        <v>1400</v>
      </c>
      <c r="M23" t="str">
        <f>INDEX([1]!Table211[Sub category],MATCH(C23,$C$1:$C$26,0))</f>
        <v>Zomato</v>
      </c>
      <c r="N23">
        <f>INDEX([1]!Table211[Amount],MATCH([1]!Table211[[#This Row],[Amount]],[1]!Table211[Amount],0))</f>
        <v>500</v>
      </c>
    </row>
    <row r="24" spans="1:14" x14ac:dyDescent="0.3">
      <c r="A24" s="3">
        <v>44992</v>
      </c>
      <c r="B24" s="2" t="s">
        <v>2</v>
      </c>
      <c r="C24" s="2" t="s">
        <v>1</v>
      </c>
      <c r="D24" s="2"/>
      <c r="E24" s="1" t="s">
        <v>6</v>
      </c>
      <c r="H24" s="11" t="str">
        <f>VLOOKUP([1]!Table211[[#This Row],[Sub category]],[1]!Table211[[Sub category]:[Amount]],1,FALSE)</f>
        <v>Zomato</v>
      </c>
      <c r="I24" s="11">
        <f>VLOOKUP(H24,[1]!Table211[[Sub category]:[Amount]],2,0)</f>
        <v>1400</v>
      </c>
      <c r="J24" t="str">
        <f>_xlfn.XLOOKUP(H24,[1]!Table211[Sub category],[1]!Table211[Sub category])</f>
        <v>Zomato</v>
      </c>
      <c r="K24">
        <f>_xlfn.XLOOKUP(H24,[1]!Table211[Sub category],[1]!Table211[Amount])</f>
        <v>1400</v>
      </c>
      <c r="M24" t="str">
        <f>INDEX([1]!Table211[Sub category],MATCH(C24,$C$1:$C$26,0))</f>
        <v>Zomato</v>
      </c>
      <c r="N24" t="e">
        <f>INDEX([1]!Table211[Amount],MATCH([1]!Table211[[#This Row],[Amount]],[1]!Table211[Amount],0))</f>
        <v>#N/A</v>
      </c>
    </row>
    <row r="25" spans="1:14" x14ac:dyDescent="0.3">
      <c r="A25" s="5">
        <v>44993</v>
      </c>
      <c r="B25" s="4" t="s">
        <v>5</v>
      </c>
      <c r="C25" s="4" t="s">
        <v>4</v>
      </c>
      <c r="D25" s="4"/>
      <c r="E25" s="1" t="s">
        <v>3</v>
      </c>
      <c r="H25" s="11" t="str">
        <f>VLOOKUP([1]!Table211[[#This Row],[Sub category]],[1]!Table211[[Sub category]:[Amount]],1,FALSE)</f>
        <v>fruite</v>
      </c>
      <c r="I25" s="11">
        <f>VLOOKUP(H25,[1]!Table211[[Sub category]:[Amount]],2,0)</f>
        <v>800</v>
      </c>
      <c r="J25" t="str">
        <f>_xlfn.XLOOKUP(H25,[1]!Table211[Sub category],[1]!Table211[Sub category])</f>
        <v>fruite</v>
      </c>
      <c r="K25">
        <f>_xlfn.XLOOKUP(H25,[1]!Table211[Sub category],[1]!Table211[Amount])</f>
        <v>800</v>
      </c>
      <c r="M25" t="str">
        <f>INDEX([1]!Table211[Sub category],MATCH(C25,$C$1:$C$26,0))</f>
        <v>fruite</v>
      </c>
      <c r="N25" t="e">
        <f>INDEX([1]!Table211[Amount],MATCH([1]!Table211[[#This Row],[Amount]],[1]!Table211[Amount],0))</f>
        <v>#N/A</v>
      </c>
    </row>
    <row r="26" spans="1:14" x14ac:dyDescent="0.3">
      <c r="A26" s="3">
        <v>44994</v>
      </c>
      <c r="B26" s="2" t="s">
        <v>2</v>
      </c>
      <c r="C26" s="2" t="s">
        <v>1</v>
      </c>
      <c r="D26" s="2">
        <v>700</v>
      </c>
      <c r="E26" s="1" t="s">
        <v>0</v>
      </c>
      <c r="H26" s="11" t="str">
        <f>VLOOKUP([1]!Table211[[#This Row],[Sub category]],[1]!Table211[[Sub category]:[Amount]],1,FALSE)</f>
        <v>Zomato</v>
      </c>
      <c r="I26" s="11">
        <f>VLOOKUP(H26,[1]!Table211[[Sub category]:[Amount]],2,0)</f>
        <v>1400</v>
      </c>
      <c r="J26" t="str">
        <f>_xlfn.XLOOKUP(H26,[1]!Table211[Sub category],[1]!Table211[Sub category])</f>
        <v>Zomato</v>
      </c>
      <c r="K26">
        <f>_xlfn.XLOOKUP(H26,[1]!Table211[Sub category],[1]!Table211[Amount])</f>
        <v>1400</v>
      </c>
      <c r="M26" t="str">
        <f>INDEX([1]!Table211[Sub category],MATCH(C26,$C$1:$C$26,0))</f>
        <v>Zomato</v>
      </c>
      <c r="N26">
        <f>INDEX([1]!Table211[Amount],MATCH([1]!Table211[[#This Row],[Amount]],[1]!Table211[Amount],0))</f>
        <v>700</v>
      </c>
    </row>
    <row r="27" spans="1:14" x14ac:dyDescent="0.3">
      <c r="H27" s="11" t="str">
        <f>VLOOKUP([1]!Table211[[#This Row],[Sub category]],[1]!Table211[[Sub category]:[Amount]],1,FALSE)</f>
        <v>swiggy</v>
      </c>
      <c r="I27" s="11">
        <f>VLOOKUP(H27,[1]!Table211[[Sub category]:[Amount]],2,0)</f>
        <v>40</v>
      </c>
      <c r="J27" t="str">
        <f>_xlfn.XLOOKUP(H27,[1]!Table211[Sub category],[1]!Table211[Sub category])</f>
        <v>swiggy</v>
      </c>
      <c r="K27">
        <f>_xlfn.XLOOKUP(H27,[1]!Table211[Sub category],[1]!Table211[Amount])</f>
        <v>40</v>
      </c>
      <c r="M27" t="str">
        <f>INDEX([1]!Table211[Sub category],MATCH([1]!Table211[[#This Row],[Sub category]],[1]!Table211[Sub category],0))</f>
        <v>swiggy</v>
      </c>
      <c r="N27">
        <f>INDEX([1]!Table211[Amount],MATCH([1]!Table211[[#This Row],[Amount]],[1]!Table211[Amount],0))</f>
        <v>40</v>
      </c>
    </row>
  </sheetData>
  <autoFilter ref="A1:D26" xr:uid="{486051FF-4B14-401F-9F2B-D5391A79AEC4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99BB-EA79-484A-BFBF-553FE5FB1E2D}">
  <dimension ref="A1:E26"/>
  <sheetViews>
    <sheetView workbookViewId="0">
      <selection activeCell="F8" sqref="F8"/>
    </sheetView>
  </sheetViews>
  <sheetFormatPr defaultRowHeight="14.4" x14ac:dyDescent="0.3"/>
  <cols>
    <col min="1" max="1" width="10.33203125" bestFit="1" customWidth="1"/>
  </cols>
  <sheetData>
    <row r="1" spans="1:5" ht="15.6" x14ac:dyDescent="0.3">
      <c r="A1" s="10" t="s">
        <v>11</v>
      </c>
      <c r="B1" s="9" t="s">
        <v>10</v>
      </c>
      <c r="C1" s="9" t="s">
        <v>9</v>
      </c>
      <c r="D1" s="9" t="s">
        <v>8</v>
      </c>
      <c r="E1" s="8" t="s">
        <v>7</v>
      </c>
    </row>
    <row r="2" spans="1:5" x14ac:dyDescent="0.3">
      <c r="A2" s="3">
        <v>44970</v>
      </c>
      <c r="B2" s="2" t="s">
        <v>5</v>
      </c>
      <c r="C2" s="2" t="s">
        <v>4</v>
      </c>
      <c r="D2" s="2">
        <v>800</v>
      </c>
      <c r="E2" s="1" t="s">
        <v>0</v>
      </c>
    </row>
    <row r="3" spans="1:5" x14ac:dyDescent="0.3">
      <c r="A3" s="5">
        <v>44971</v>
      </c>
      <c r="B3" s="4" t="s">
        <v>5</v>
      </c>
      <c r="C3" s="4" t="s">
        <v>4</v>
      </c>
      <c r="D3" s="4">
        <v>1000</v>
      </c>
      <c r="E3" s="1" t="s">
        <v>6</v>
      </c>
    </row>
    <row r="4" spans="1:5" x14ac:dyDescent="0.3">
      <c r="A4" s="3">
        <v>44972</v>
      </c>
      <c r="B4" s="2" t="s">
        <v>5</v>
      </c>
      <c r="C4" s="2" t="s">
        <v>4</v>
      </c>
      <c r="D4" s="2">
        <v>1200</v>
      </c>
      <c r="E4" s="1" t="s">
        <v>3</v>
      </c>
    </row>
    <row r="5" spans="1:5" x14ac:dyDescent="0.3">
      <c r="A5" s="5">
        <v>44973</v>
      </c>
      <c r="B5" s="4" t="s">
        <v>5</v>
      </c>
      <c r="C5" s="4" t="s">
        <v>1</v>
      </c>
      <c r="D5" s="4">
        <v>1400</v>
      </c>
      <c r="E5" s="1" t="s">
        <v>0</v>
      </c>
    </row>
    <row r="6" spans="1:5" x14ac:dyDescent="0.3">
      <c r="A6" s="3">
        <v>44974</v>
      </c>
      <c r="B6" s="2" t="s">
        <v>5</v>
      </c>
      <c r="C6" s="2" t="s">
        <v>1</v>
      </c>
      <c r="D6" s="2">
        <v>1600</v>
      </c>
      <c r="E6" s="1" t="s">
        <v>6</v>
      </c>
    </row>
    <row r="7" spans="1:5" x14ac:dyDescent="0.3">
      <c r="A7" s="5">
        <v>44975</v>
      </c>
      <c r="B7" s="4" t="s">
        <v>5</v>
      </c>
      <c r="C7" s="4" t="s">
        <v>4</v>
      </c>
      <c r="D7" s="7">
        <v>400</v>
      </c>
      <c r="E7" s="1" t="s">
        <v>3</v>
      </c>
    </row>
    <row r="8" spans="1:5" x14ac:dyDescent="0.3">
      <c r="A8" s="3">
        <v>44976</v>
      </c>
      <c r="B8" s="2" t="s">
        <v>5</v>
      </c>
      <c r="C8" s="2" t="s">
        <v>4</v>
      </c>
      <c r="D8" s="2">
        <v>600</v>
      </c>
      <c r="E8" s="1" t="s">
        <v>0</v>
      </c>
    </row>
    <row r="9" spans="1:5" x14ac:dyDescent="0.3">
      <c r="A9" s="5">
        <v>44977</v>
      </c>
      <c r="B9" s="4" t="s">
        <v>5</v>
      </c>
      <c r="C9" s="4" t="s">
        <v>4</v>
      </c>
      <c r="D9" s="4">
        <v>20</v>
      </c>
      <c r="E9" s="1" t="s">
        <v>6</v>
      </c>
    </row>
    <row r="10" spans="1:5" x14ac:dyDescent="0.3">
      <c r="A10" s="3">
        <v>44978</v>
      </c>
      <c r="B10" s="2" t="s">
        <v>2</v>
      </c>
      <c r="C10" s="2" t="s">
        <v>1</v>
      </c>
      <c r="D10" s="2">
        <v>50</v>
      </c>
      <c r="E10" s="1" t="s">
        <v>3</v>
      </c>
    </row>
    <row r="11" spans="1:5" x14ac:dyDescent="0.3">
      <c r="A11" s="5">
        <v>44979</v>
      </c>
      <c r="B11" s="4" t="s">
        <v>2</v>
      </c>
      <c r="C11" s="4" t="s">
        <v>1</v>
      </c>
      <c r="D11" s="4">
        <v>900</v>
      </c>
      <c r="E11" s="1" t="s">
        <v>0</v>
      </c>
    </row>
    <row r="12" spans="1:5" x14ac:dyDescent="0.3">
      <c r="A12" s="3">
        <v>44980</v>
      </c>
      <c r="B12" s="2" t="s">
        <v>2</v>
      </c>
      <c r="C12" s="2" t="s">
        <v>1</v>
      </c>
      <c r="D12" s="2"/>
      <c r="E12" s="1" t="s">
        <v>6</v>
      </c>
    </row>
    <row r="13" spans="1:5" x14ac:dyDescent="0.3">
      <c r="A13" s="5">
        <v>44981</v>
      </c>
      <c r="B13" s="4" t="s">
        <v>5</v>
      </c>
      <c r="C13" s="4" t="s">
        <v>4</v>
      </c>
      <c r="D13" s="4"/>
      <c r="E13" s="1" t="s">
        <v>3</v>
      </c>
    </row>
    <row r="14" spans="1:5" x14ac:dyDescent="0.3">
      <c r="A14" s="3">
        <v>44982</v>
      </c>
      <c r="B14" s="2" t="s">
        <v>2</v>
      </c>
      <c r="C14" s="2" t="s">
        <v>1</v>
      </c>
      <c r="D14" s="2">
        <v>1100</v>
      </c>
      <c r="E14" s="1" t="s">
        <v>0</v>
      </c>
    </row>
    <row r="15" spans="1:5" x14ac:dyDescent="0.3">
      <c r="A15" s="5">
        <v>44983</v>
      </c>
      <c r="B15" s="4" t="s">
        <v>2</v>
      </c>
      <c r="C15" s="4" t="s">
        <v>1</v>
      </c>
      <c r="D15" s="4"/>
      <c r="E15" s="1" t="s">
        <v>6</v>
      </c>
    </row>
    <row r="16" spans="1:5" x14ac:dyDescent="0.3">
      <c r="A16" s="3">
        <v>44984</v>
      </c>
      <c r="B16" s="2" t="s">
        <v>2</v>
      </c>
      <c r="C16" s="2" t="s">
        <v>1</v>
      </c>
      <c r="D16" s="6">
        <v>300</v>
      </c>
      <c r="E16" s="1" t="s">
        <v>3</v>
      </c>
    </row>
    <row r="17" spans="1:5" x14ac:dyDescent="0.3">
      <c r="A17" s="5">
        <v>44985</v>
      </c>
      <c r="B17" s="4" t="s">
        <v>2</v>
      </c>
      <c r="C17" s="4" t="s">
        <v>4</v>
      </c>
      <c r="D17" s="4">
        <v>1300</v>
      </c>
      <c r="E17" s="1" t="s">
        <v>0</v>
      </c>
    </row>
    <row r="18" spans="1:5" x14ac:dyDescent="0.3">
      <c r="A18" s="3">
        <v>44986</v>
      </c>
      <c r="B18" s="2" t="s">
        <v>2</v>
      </c>
      <c r="C18" s="2" t="s">
        <v>4</v>
      </c>
      <c r="D18" s="2"/>
      <c r="E18" s="1" t="s">
        <v>6</v>
      </c>
    </row>
    <row r="19" spans="1:5" x14ac:dyDescent="0.3">
      <c r="A19" s="5">
        <v>44987</v>
      </c>
      <c r="B19" s="4" t="s">
        <v>2</v>
      </c>
      <c r="C19" s="4" t="s">
        <v>1</v>
      </c>
      <c r="D19" s="4">
        <v>1500</v>
      </c>
      <c r="E19" s="1" t="s">
        <v>3</v>
      </c>
    </row>
    <row r="20" spans="1:5" x14ac:dyDescent="0.3">
      <c r="A20" s="3">
        <v>44988</v>
      </c>
      <c r="B20" s="2" t="s">
        <v>2</v>
      </c>
      <c r="C20" s="2" t="s">
        <v>4</v>
      </c>
      <c r="D20" s="2">
        <v>1700</v>
      </c>
      <c r="E20" s="1" t="s">
        <v>0</v>
      </c>
    </row>
    <row r="21" spans="1:5" x14ac:dyDescent="0.3">
      <c r="A21" s="5">
        <v>44989</v>
      </c>
      <c r="B21" s="4" t="s">
        <v>2</v>
      </c>
      <c r="C21" s="4" t="s">
        <v>1</v>
      </c>
      <c r="D21" s="4"/>
      <c r="E21" s="1" t="s">
        <v>6</v>
      </c>
    </row>
    <row r="22" spans="1:5" x14ac:dyDescent="0.3">
      <c r="A22" s="3">
        <v>44990</v>
      </c>
      <c r="B22" s="2" t="s">
        <v>5</v>
      </c>
      <c r="C22" s="2" t="s">
        <v>4</v>
      </c>
      <c r="D22" s="2"/>
      <c r="E22" s="1" t="s">
        <v>3</v>
      </c>
    </row>
    <row r="23" spans="1:5" x14ac:dyDescent="0.3">
      <c r="A23" s="5">
        <v>44991</v>
      </c>
      <c r="B23" s="4" t="s">
        <v>2</v>
      </c>
      <c r="C23" s="4" t="s">
        <v>1</v>
      </c>
      <c r="D23" s="4">
        <v>500</v>
      </c>
      <c r="E23" s="1" t="s">
        <v>0</v>
      </c>
    </row>
    <row r="24" spans="1:5" x14ac:dyDescent="0.3">
      <c r="A24" s="3">
        <v>44992</v>
      </c>
      <c r="B24" s="2" t="s">
        <v>2</v>
      </c>
      <c r="C24" s="2" t="s">
        <v>1</v>
      </c>
      <c r="D24" s="2"/>
      <c r="E24" s="1" t="s">
        <v>6</v>
      </c>
    </row>
    <row r="25" spans="1:5" x14ac:dyDescent="0.3">
      <c r="A25" s="5">
        <v>44993</v>
      </c>
      <c r="B25" s="4" t="s">
        <v>5</v>
      </c>
      <c r="C25" s="4" t="s">
        <v>4</v>
      </c>
      <c r="D25" s="4"/>
      <c r="E25" s="1" t="s">
        <v>3</v>
      </c>
    </row>
    <row r="26" spans="1:5" x14ac:dyDescent="0.3">
      <c r="A26" s="3">
        <v>44994</v>
      </c>
      <c r="B26" s="2" t="s">
        <v>2</v>
      </c>
      <c r="C26" s="2" t="s">
        <v>1</v>
      </c>
      <c r="D26" s="2">
        <v>700</v>
      </c>
      <c r="E26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963A-696E-42C2-A009-7107D4B27205}">
  <dimension ref="A1:A4"/>
  <sheetViews>
    <sheetView tabSelected="1" workbookViewId="0">
      <selection activeCell="I20" sqref="I20"/>
    </sheetView>
  </sheetViews>
  <sheetFormatPr defaultRowHeight="14.4" x14ac:dyDescent="0.3"/>
  <cols>
    <col min="1" max="1" width="15.77734375" customWidth="1"/>
  </cols>
  <sheetData>
    <row r="1" spans="1:1" x14ac:dyDescent="0.3">
      <c r="A1" t="s">
        <v>7</v>
      </c>
    </row>
    <row r="2" spans="1:1" x14ac:dyDescent="0.3">
      <c r="A2" t="s">
        <v>0</v>
      </c>
    </row>
    <row r="3" spans="1:1" x14ac:dyDescent="0.3">
      <c r="A3" t="s">
        <v>12</v>
      </c>
    </row>
    <row r="4" spans="1:1" x14ac:dyDescent="0.3">
      <c r="A4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BC16-0FA1-450D-B23C-FE210A8BA8CE}">
  <dimension ref="AF1:AF6"/>
  <sheetViews>
    <sheetView topLeftCell="AF1" workbookViewId="0">
      <selection activeCell="AN16" sqref="AN16"/>
    </sheetView>
  </sheetViews>
  <sheetFormatPr defaultRowHeight="14.4" x14ac:dyDescent="0.3"/>
  <cols>
    <col min="32" max="32" width="10.21875" customWidth="1"/>
  </cols>
  <sheetData>
    <row r="1" spans="32:32" x14ac:dyDescent="0.3">
      <c r="AF1" t="s">
        <v>16</v>
      </c>
    </row>
    <row r="2" spans="32:32" x14ac:dyDescent="0.3">
      <c r="AF2" t="s">
        <v>5</v>
      </c>
    </row>
    <row r="3" spans="32:32" x14ac:dyDescent="0.3">
      <c r="AF3" t="s">
        <v>2</v>
      </c>
    </row>
    <row r="4" spans="32:32" x14ac:dyDescent="0.3">
      <c r="AF4" t="s">
        <v>15</v>
      </c>
    </row>
    <row r="5" spans="32:32" x14ac:dyDescent="0.3">
      <c r="AF5" t="s">
        <v>14</v>
      </c>
    </row>
    <row r="6" spans="32:32" x14ac:dyDescent="0.3">
      <c r="AF6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 expenses</vt:lpstr>
      <vt:lpstr>feb exp</vt:lpstr>
      <vt:lpstr>payment mode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 PATIL homeuse</dc:creator>
  <cp:lastModifiedBy>VASANT PATIL homeuse</cp:lastModifiedBy>
  <cp:lastPrinted>2026-07-11T15:14:47Z</cp:lastPrinted>
  <dcterms:created xsi:type="dcterms:W3CDTF">2026-07-11T15:06:28Z</dcterms:created>
  <dcterms:modified xsi:type="dcterms:W3CDTF">2026-07-29T09:48:07Z</dcterms:modified>
</cp:coreProperties>
</file>